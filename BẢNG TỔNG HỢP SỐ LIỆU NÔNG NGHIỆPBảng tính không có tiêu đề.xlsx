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TX" sheetId="1" r:id="rId5"/>
    <sheet state="visible" name="Tổ hợp tác" sheetId="2" r:id="rId6"/>
    <sheet state="visible" name="Thủy Lợi" sheetId="3" r:id="rId7"/>
    <sheet state="visible" name="MH Hiệu quả" sheetId="4" r:id="rId8"/>
    <sheet state="visible" name="SP OCOP" sheetId="5" r:id="rId9"/>
    <sheet state="visible" name="Vùng sản xuất" sheetId="6" r:id="rId10"/>
  </sheets>
  <definedNames/>
  <calcPr/>
</workbook>
</file>

<file path=xl/sharedStrings.xml><?xml version="1.0" encoding="utf-8"?>
<sst xmlns="http://schemas.openxmlformats.org/spreadsheetml/2006/main" count="725" uniqueCount="337">
  <si>
    <t>BẢNG TỔNG HỢP SỐ LIỆU NÔNG NGHIỆP (Hợp tác xã)</t>
  </si>
  <si>
    <t>STT</t>
  </si>
  <si>
    <t>Tên Mô hình</t>
  </si>
  <si>
    <t>Người đại diện</t>
  </si>
  <si>
    <t>Địa chỉ</t>
  </si>
  <si>
    <t>Ngành nghề sản xuất/kinh doanh</t>
  </si>
  <si>
    <t>Diện tích (ha)</t>
  </si>
  <si>
    <t>Quy trình sản xuất</t>
  </si>
  <si>
    <t>Số thành viên</t>
  </si>
  <si>
    <t>Sản lượng</t>
  </si>
  <si>
    <t>Kênh tiêu thụ</t>
  </si>
  <si>
    <t>Chi phí/năm
 (triệu đồng)</t>
  </si>
  <si>
    <t>Thu nhập/năm 
(triệu đồng)</t>
  </si>
  <si>
    <t>Lợi nhuận/năm (triệu đồng)</t>
  </si>
  <si>
    <t>Số điện thoại</t>
  </si>
  <si>
    <t>Tình trạng HĐ</t>
  </si>
  <si>
    <t>Ghi chú</t>
  </si>
  <si>
    <t>HTX Ngọc Liên Phát</t>
  </si>
  <si>
    <t>Ngô Hoài Tâm</t>
  </si>
  <si>
    <t>Kv Bình Lợi</t>
  </si>
  <si>
    <t>Bán buôn nông lâm sản nguyên liệu</t>
  </si>
  <si>
    <t>Mua bán lúa gạo hàng hóa</t>
  </si>
  <si>
    <t>351 tấn</t>
  </si>
  <si>
    <t>Các Công ty lúa gạo</t>
  </si>
  <si>
    <t>0963269862</t>
  </si>
  <si>
    <t>Đang HĐ</t>
  </si>
  <si>
    <t xml:space="preserve">HTX NN và TMDV Minh Anh </t>
  </si>
  <si>
    <t>Dương Lê Bằng Phương</t>
  </si>
  <si>
    <t>KV Thạnh Hiếu</t>
  </si>
  <si>
    <t>Sản xuất và kinh doanh dưa lưới</t>
  </si>
  <si>
    <t>sản xuất theo quy trình công nghệ cao</t>
  </si>
  <si>
    <t>Địa phương và Tp HCM</t>
  </si>
  <si>
    <t>0939048168</t>
  </si>
  <si>
    <t>HTX NS Mekong Delta Hưng Thịnh</t>
  </si>
  <si>
    <t>Nguyễn Hùng Cường</t>
  </si>
  <si>
    <t xml:space="preserve">KV Bình Thạnh B </t>
  </si>
  <si>
    <t>0931089595</t>
  </si>
  <si>
    <t>HTX NN và DV Thuận Tiến</t>
  </si>
  <si>
    <t>Phan Văn Oanh</t>
  </si>
  <si>
    <t>KV Bình Thuận</t>
  </si>
  <si>
    <t>Bơm tưới</t>
  </si>
  <si>
    <t>Nông dân</t>
  </si>
  <si>
    <t>0397862939</t>
  </si>
  <si>
    <t>HTX NN Bình Hiếu</t>
  </si>
  <si>
    <t>Nguyễn Văn Hiện</t>
  </si>
  <si>
    <t>KV Bình Hiếu</t>
  </si>
  <si>
    <t>Sản xuất lúa xác nhận</t>
  </si>
  <si>
    <t>0907403860</t>
  </si>
  <si>
    <t>HTX NN Bình Hòa Tiến</t>
  </si>
  <si>
    <t>Trần Văn Thắng</t>
  </si>
  <si>
    <t>KV Bình Hòa</t>
  </si>
  <si>
    <t>0377714455</t>
  </si>
  <si>
    <t>HTX NN Thạnh Hiếu</t>
  </si>
  <si>
    <t>Hồ Văn Sơn</t>
  </si>
  <si>
    <t>0946940334</t>
  </si>
  <si>
    <t>HTX NN Bình Thạnh C</t>
  </si>
  <si>
    <t>Trần Văn Ghi</t>
  </si>
  <si>
    <t>KV Bình Thạnh C</t>
  </si>
  <si>
    <t>0765968219</t>
  </si>
  <si>
    <t>HTX NTTS Bình Thạnh C</t>
  </si>
  <si>
    <t>Phan Văn Tùng</t>
  </si>
  <si>
    <t>Mua bán, sản xuất lươn</t>
  </si>
  <si>
    <t>HTX NN Bình Thạnh B</t>
  </si>
  <si>
    <t>Huỳnh Phường Bắc</t>
  </si>
  <si>
    <t>Quy trình nuôi lươn kép kính</t>
  </si>
  <si>
    <t>2 tấn</t>
  </si>
  <si>
    <t>Lái</t>
  </si>
  <si>
    <t>0834027879</t>
  </si>
  <si>
    <t>HTX Kim Ngân</t>
  </si>
  <si>
    <t>Hồ Văn Út</t>
  </si>
  <si>
    <t>KV An Hòa</t>
  </si>
  <si>
    <t>Đan đát lục bình</t>
  </si>
  <si>
    <t>HTX DV Vận Tải Thủy Bộ</t>
  </si>
  <si>
    <t>Nguyễn Văn Mỹ</t>
  </si>
  <si>
    <t>Giao thông vận tải</t>
  </si>
  <si>
    <t>HTX TMDV Vĩnh Tường</t>
  </si>
  <si>
    <t>Đặng Nguyễn Nhật Hoài Chương</t>
  </si>
  <si>
    <t>BẢNG TỔNG HỢP SỐ LIỆU NÔNG NGHIỆP (Tổ hợp tác)</t>
  </si>
  <si>
    <t xml:space="preserve">Chi phí/năm (triệu đồng) </t>
  </si>
  <si>
    <t>Thu nhập/năm (Triệu đồng)</t>
  </si>
  <si>
    <t>THT bơm tưới kênh Thanh niên</t>
  </si>
  <si>
    <t>Đoàn Văn Thưởng</t>
  </si>
  <si>
    <t>Kv Bình Lợi + Bình Trung</t>
  </si>
  <si>
    <t>73 ha</t>
  </si>
  <si>
    <t>0379961857</t>
  </si>
  <si>
    <t>THT Mít Thái VietGAP Long Bình</t>
  </si>
  <si>
    <t>Phạm Thị Kim Ba</t>
  </si>
  <si>
    <t>Kv Bình Trung</t>
  </si>
  <si>
    <t>Sản xuất Mít Thái</t>
  </si>
  <si>
    <t>VietGAP</t>
  </si>
  <si>
    <t>300 tấn</t>
  </si>
  <si>
    <t>Cò lái</t>
  </si>
  <si>
    <t>0795918495</t>
  </si>
  <si>
    <t>THT Nông nghiệp Long Bình</t>
  </si>
  <si>
    <t>Trần Văn Trường</t>
  </si>
  <si>
    <t>Mua bán lúa hàng hóa</t>
  </si>
  <si>
    <t>210 tấn</t>
  </si>
  <si>
    <t>Công ty lúa gạo, nông dân</t>
  </si>
  <si>
    <t>0899051079</t>
  </si>
  <si>
    <t>THT Nuôi lươn Long Bình</t>
  </si>
  <si>
    <t>Ngô Văn Tâm</t>
  </si>
  <si>
    <t>Nuôi lươn thương phẩm</t>
  </si>
  <si>
    <t>Nuôi lươn theo hướng ATVSTP</t>
  </si>
  <si>
    <t>51 tấn</t>
  </si>
  <si>
    <t>0919566414</t>
  </si>
  <si>
    <t xml:space="preserve">THT bơm tưới </t>
  </si>
  <si>
    <t>Nguyễn Văn Cứ</t>
  </si>
  <si>
    <t>Bình Tân</t>
  </si>
  <si>
    <t>0389369300</t>
  </si>
  <si>
    <t>Tên trạm bơm</t>
  </si>
  <si>
    <t>Chi phí/năm (triệu đồng)</t>
  </si>
  <si>
    <t>Thu nhập/năm (triệu đồng)</t>
  </si>
  <si>
    <t>Lợi nhuận/năm(triệu đồng)</t>
  </si>
  <si>
    <t>Trạm bơm Kênh Thanh niên</t>
  </si>
  <si>
    <t>Dịch vụ bơm tưới</t>
  </si>
  <si>
    <t>Bơm tưới kép kín 2 vụ</t>
  </si>
  <si>
    <t>Bơm dầu</t>
  </si>
  <si>
    <t>Trạm bơm Kênh 3 Khéo</t>
  </si>
  <si>
    <t>Nguyễn Văn Lực</t>
  </si>
  <si>
    <t>0907765211</t>
  </si>
  <si>
    <t>Trạm bơm điện Bình Tân-Bình Hiếu
 (Kênh 5 Thước)</t>
  </si>
  <si>
    <t>Đặng Thanh Bình</t>
  </si>
  <si>
    <t>KV Bình Tân</t>
  </si>
  <si>
    <t>094638209</t>
  </si>
  <si>
    <t>Bơm điện</t>
  </si>
  <si>
    <t>Trạm bơm Kênh phèn</t>
  </si>
  <si>
    <t>Trạm bơm Kênh bờ Dừa</t>
  </si>
  <si>
    <t>Hồ Thanh Lưu</t>
  </si>
  <si>
    <t>KV Bình Thạnh B</t>
  </si>
  <si>
    <t>Trạm bơm Kênh 6 Đực</t>
  </si>
  <si>
    <t>Nguyễn Văn Bay</t>
  </si>
  <si>
    <t>Kv An Hòa</t>
  </si>
  <si>
    <t>0837946677</t>
  </si>
  <si>
    <t>Trạm bơm Kênh Nhà Việt</t>
  </si>
  <si>
    <t>Nguyễn Quốc Toàn</t>
  </si>
  <si>
    <t>Trạm bơm kênh Tắt</t>
  </si>
  <si>
    <t>Kv Bình Thạnh C</t>
  </si>
  <si>
    <t>Trạm bơm kênh Chủ Mỹ</t>
  </si>
  <si>
    <t>Trạm bơm Kênh Xẻo Chèo</t>
  </si>
  <si>
    <t>Hồ Minh Sơn</t>
  </si>
  <si>
    <t>trạm bơm cơi đồng Rò Mã</t>
  </si>
  <si>
    <t>Trạm bơm kênh 7 Từ</t>
  </si>
  <si>
    <t>Trần Văn Kính</t>
  </si>
  <si>
    <t>Kv Bình Tân</t>
  </si>
  <si>
    <t>0349239140</t>
  </si>
  <si>
    <t>Trạm bơm Cù Lao</t>
  </si>
  <si>
    <t>Trạm bơm Cầu Giồng Sao</t>
  </si>
  <si>
    <t>Trạm bơm cù lao Bình Trung</t>
  </si>
  <si>
    <t>-</t>
  </si>
  <si>
    <t>KV Bình Trung</t>
  </si>
  <si>
    <t>Không HĐ</t>
  </si>
  <si>
    <t>Trạm bơm Bình Thuận - Bình Lợi</t>
  </si>
  <si>
    <t>Trạm bơm kênh 6 Điền</t>
  </si>
  <si>
    <t>HTX DVNN Thuận Tiến</t>
  </si>
  <si>
    <t>Trạm bơm 4 Trung</t>
  </si>
  <si>
    <t>Bùi Thanh Danh</t>
  </si>
  <si>
    <t>0907027193</t>
  </si>
  <si>
    <t>BẢNG TỔNG HỢP SỐ LIỆU NÔNG NGHIỆP (Mô hình hiệu quả)</t>
  </si>
  <si>
    <t>Ngành nghề sản xuất/
kinh doanh</t>
  </si>
  <si>
    <t>Diện tích
 (ha)</t>
  </si>
  <si>
    <t>Sản lượng
 (tấn)</t>
  </si>
  <si>
    <t>Kênh 
tiêu thụ</t>
  </si>
  <si>
    <t>Lợi nhuận/năm 
(triệu đồng)</t>
  </si>
  <si>
    <t>Trồng trọt</t>
  </si>
  <si>
    <t>Mô hình trồng bưởi da xanh</t>
  </si>
  <si>
    <t>Trần Văn Hai</t>
  </si>
  <si>
    <t xml:space="preserve">Trồng bưởi </t>
  </si>
  <si>
    <t>sản xuất theo hướng 
ATSH có bổ sung hữu cơ
 vi sinh</t>
  </si>
  <si>
    <t>địa phương
Tp HCM</t>
  </si>
  <si>
    <t>0326088265</t>
  </si>
  <si>
    <t>Đang hoạt động</t>
  </si>
  <si>
    <t>Mô hình trồng măng cục xen bòn bon</t>
  </si>
  <si>
    <t>Nguyễn Văn Rõ</t>
  </si>
  <si>
    <t>Trồng măng cục</t>
  </si>
  <si>
    <t>0933815580</t>
  </si>
  <si>
    <t>Mô hình trồng mít thái theo hướng ATVSTP</t>
  </si>
  <si>
    <t>kv Bình Trung</t>
  </si>
  <si>
    <t>Mít ruột đỏ, mít thái</t>
  </si>
  <si>
    <t>Viet GAP</t>
  </si>
  <si>
    <t>Qua lái</t>
  </si>
  <si>
    <t>Mô hình trồng sầu riêng</t>
  </si>
  <si>
    <t>Nguyễn Tấn Long</t>
  </si>
  <si>
    <t>KV Bình Lợi</t>
  </si>
  <si>
    <t>Sầu riêng</t>
  </si>
  <si>
    <t>An toàn sinh học</t>
  </si>
  <si>
    <t>0782220979</t>
  </si>
  <si>
    <t>Mô hình trồng hoa tết</t>
  </si>
  <si>
    <t>Vùng chuyên canh lúa HTX nông nghiệp Bình Hòa Tiến</t>
  </si>
  <si>
    <t>Thủy sản</t>
  </si>
  <si>
    <t>Mô hình cơ giới hóa đồng bộ trên lúa theo hướng an toàn gắn với thu rơm rạ phục vụ đề án 1 triệu hecta lúa chất lượng cao.</t>
  </si>
  <si>
    <t>Trương Tấn Trị</t>
  </si>
  <si>
    <t>Vùng chuyên canh lúa giống</t>
  </si>
  <si>
    <t>Sản cxuất lúa giống</t>
  </si>
  <si>
    <t>Công ty giống cây trồng miền nam</t>
  </si>
  <si>
    <t>0787995006</t>
  </si>
  <si>
    <t>Mô hình nuôi cá thát lát công nghiệp</t>
  </si>
  <si>
    <t>Thanh Khiết</t>
  </si>
  <si>
    <t>Nuôi cá thát lát</t>
  </si>
  <si>
    <t>Nuôi thát lát</t>
  </si>
  <si>
    <t>Bán qua lái</t>
  </si>
  <si>
    <t>Mô hình nuôi baba</t>
  </si>
  <si>
    <t>Lê Văn Đông</t>
  </si>
  <si>
    <t>KV. Bình Thuận</t>
  </si>
  <si>
    <t>Nuôi baba</t>
  </si>
  <si>
    <t>Cho ăn thức ăn, cá mồi</t>
  </si>
  <si>
    <t xml:space="preserve">Bán qua lái </t>
  </si>
  <si>
    <t>0352748491</t>
  </si>
  <si>
    <t>Mô hình nuôi lươn, ếch</t>
  </si>
  <si>
    <t>Phạm Văn Đấu</t>
  </si>
  <si>
    <t>nuôi ếch, lươn</t>
  </si>
  <si>
    <t>Cho ăn thức ăn</t>
  </si>
  <si>
    <t>10,000 con lươn,
5000 con ếch</t>
  </si>
  <si>
    <t>0379211035</t>
  </si>
  <si>
    <t>Mô hình nuôi thát lát giống</t>
  </si>
  <si>
    <t>Đặng Thị Loan</t>
  </si>
  <si>
    <t>Thát lát giống</t>
  </si>
  <si>
    <t>30,000 con</t>
  </si>
  <si>
    <t>200,000,000</t>
  </si>
  <si>
    <t>300,000,000</t>
  </si>
  <si>
    <t>100,000,000</t>
  </si>
  <si>
    <t>Công nghệ cao</t>
  </si>
  <si>
    <t>Sản xuất và kinh doanh 
dưa lưới</t>
  </si>
  <si>
    <t>sản xuất theo quy trình 
công nghệ cao</t>
  </si>
  <si>
    <t>Địa phương
 và Tp HCM</t>
  </si>
  <si>
    <t>BẢNG TỔNG HỢP SỐ LIỆU NÔNG NGHIỆP (Sản phẩm OCOP)</t>
  </si>
  <si>
    <t>Chủ thể</t>
  </si>
  <si>
    <t>Tên Sản phẩm OCOP</t>
  </si>
  <si>
    <t>Xếp hạng</t>
  </si>
  <si>
    <t xml:space="preserve">Chi phí/năm </t>
  </si>
  <si>
    <t>Thu nhập/năm</t>
  </si>
  <si>
    <t>Lợi nhuận/năm</t>
  </si>
  <si>
    <t>Cơ sở 10 Oanh</t>
  </si>
  <si>
    <t>Rượu nếp than 10 Oanh</t>
  </si>
  <si>
    <t>3 sao</t>
  </si>
  <si>
    <t>Kv Bình Thuận</t>
  </si>
  <si>
    <t>SX kinh doanh rượu nếp than</t>
  </si>
  <si>
    <t>40m2</t>
  </si>
  <si>
    <t>Theo chuẩn OCOP</t>
  </si>
  <si>
    <t>1000 lít</t>
  </si>
  <si>
    <t>Sỉ qua lái và lẻ</t>
  </si>
  <si>
    <t>Rượu hương nếp 10 Oanh</t>
  </si>
  <si>
    <t>SX kinh doanh rượu nếp hương nếp</t>
  </si>
  <si>
    <t>Hộ kinh doanh
 Võ Đình Chiến</t>
  </si>
  <si>
    <t>Cá thát lát tẩm gia vị Đình Chiến</t>
  </si>
  <si>
    <t>Võ Thị Mỹ Diễm</t>
  </si>
  <si>
    <t>Kv Bình Hiếu</t>
  </si>
  <si>
    <t>SX cá thát lát tẩm gia vị</t>
  </si>
  <si>
    <t>60m2</t>
  </si>
  <si>
    <t>10 tấn</t>
  </si>
  <si>
    <t>0979240295</t>
  </si>
  <si>
    <t>Khô Lươn Đình Chiến</t>
  </si>
  <si>
    <t>SX khô lươn</t>
  </si>
  <si>
    <t>5 tấn</t>
  </si>
  <si>
    <t xml:space="preserve">Cơ sở sản xuất Tân Mỹ
</t>
  </si>
  <si>
    <t>Kẹo đậu Phộng</t>
  </si>
  <si>
    <t xml:space="preserve"> Trương Khánh Văn</t>
  </si>
  <si>
    <t>Kv Thạnh Hiếu</t>
  </si>
  <si>
    <t>SX kẹo đậu Phộng</t>
  </si>
  <si>
    <t>100m2</t>
  </si>
  <si>
    <t>3 tấn</t>
  </si>
  <si>
    <t>0946475599</t>
  </si>
  <si>
    <t>Bánh Hạnh nhân</t>
  </si>
  <si>
    <t>SX bánh Hạnh nhân</t>
  </si>
  <si>
    <t>1,5 tấn</t>
  </si>
  <si>
    <t>Bánh kẹp nước cốt dừa Tân Mỹ</t>
  </si>
  <si>
    <t xml:space="preserve">SX bánh kẹp nước cốt dừa </t>
  </si>
  <si>
    <t>Cơ sở Trường Thịnh</t>
  </si>
  <si>
    <t>Mật ong Trường Thịnh</t>
  </si>
  <si>
    <t>SX mật ong</t>
  </si>
  <si>
    <t>960 lít</t>
  </si>
  <si>
    <t>Chợ truyền thống</t>
  </si>
  <si>
    <t>Hộ kinh doanh
Nguyễn Thành Tân</t>
  </si>
  <si>
    <t>Đường mía</t>
  </si>
  <si>
    <t>Nguyễn Thành Tân</t>
  </si>
  <si>
    <t>SX đường mía</t>
  </si>
  <si>
    <t>70m2</t>
  </si>
  <si>
    <t>20 tấn</t>
  </si>
  <si>
    <t>0932932922</t>
  </si>
  <si>
    <t>HTX nông sản mekongdelta
Hưng Thịnh</t>
  </si>
  <si>
    <t>Dưa lưới</t>
  </si>
  <si>
    <t>4 sao</t>
  </si>
  <si>
    <t>Kv Bình Thạnh B</t>
  </si>
  <si>
    <t>SX dưa lưới</t>
  </si>
  <si>
    <t>công ty TNHH 3 Sương</t>
  </si>
  <si>
    <t>Khóm sấy dẻo muối ớt</t>
  </si>
  <si>
    <t>Trần Ngọc Sương</t>
  </si>
  <si>
    <t>Kv Thạnh hiếu</t>
  </si>
  <si>
    <t>SX khóm sấy dẻo muối ớt</t>
  </si>
  <si>
    <t>1000m2</t>
  </si>
  <si>
    <t>100 tấn</t>
  </si>
  <si>
    <t>Xuất khẩu</t>
  </si>
  <si>
    <t>02933511847</t>
  </si>
  <si>
    <t>Xoài sấy dẻo</t>
  </si>
  <si>
    <t>SX xoài sấy dẻo</t>
  </si>
  <si>
    <t>Khóm sấy dẻo</t>
  </si>
  <si>
    <t>SX khóm sấy dẻo</t>
  </si>
  <si>
    <t>Đu đủ sấy dẻo</t>
  </si>
  <si>
    <t>SX đu đủ sấy dẻo</t>
  </si>
  <si>
    <t>Xoài sấy dẻo muối ớt</t>
  </si>
  <si>
    <t>SX xoài sấy dẻo muối ớt</t>
  </si>
  <si>
    <t>Công ty TNHH Liên Hưng
Ngô Minh Mẫn</t>
  </si>
  <si>
    <t>Gạo sạch Liên Hưng ST25</t>
  </si>
  <si>
    <t>Ngô Minh Mẫn</t>
  </si>
  <si>
    <t>SX gạo sạch ST25</t>
  </si>
  <si>
    <t>500 tấn</t>
  </si>
  <si>
    <t>083759999</t>
  </si>
  <si>
    <t>Gạo sạch Liên Hưng RVT</t>
  </si>
  <si>
    <t>SX gạo sạch RVT</t>
  </si>
  <si>
    <t>Gạo sạch Liên Hưng
 Đài Thơm 8</t>
  </si>
  <si>
    <t xml:space="preserve">SX gạo sạch Đài Thơm 8
</t>
  </si>
  <si>
    <t>Gạo sạch Liên Hưng
 OM 5451</t>
  </si>
  <si>
    <t>SX gạo sạch OM 5451</t>
  </si>
  <si>
    <t>BẢNG TỔNG HỢP SỐ LIỆU NÔNG NGHIỆP (Vùng sản xuất)</t>
  </si>
  <si>
    <t>Ngành nghề
 sản xuất/
kinh doanh</t>
  </si>
  <si>
    <t>Quy trình
 sản xuất</t>
  </si>
  <si>
    <t>Số thành 
viên</t>
  </si>
  <si>
    <t>Kênh tiêu
 thụ</t>
  </si>
  <si>
    <t>Chi phí/năm 
(triệu đồng)</t>
  </si>
  <si>
    <t>Thu nhập/
năm 
(triệu đồng)</t>
  </si>
  <si>
    <t>Lợi nhuận/
năm
(triệu đồng)</t>
  </si>
  <si>
    <t>Tình trạng 
HĐ</t>
  </si>
  <si>
    <t>Vùng chuyên canh màu</t>
  </si>
  <si>
    <t>Huỳnh Văn Khởi
Ngô Hồng Điệp
Nguyễn Văn Bảy
Huỳnh Văn Triều
Trịnh Thị Bông
Trịnh Thanh Đạt
Nguyễn Văn Tùng</t>
  </si>
  <si>
    <t>trồng màu</t>
  </si>
  <si>
    <t>sản xuất theo
 hướng an toàn</t>
  </si>
  <si>
    <t>địa phương</t>
  </si>
  <si>
    <t>0333781613</t>
  </si>
  <si>
    <t>sản xuất theo vụ
(hiện đang k sx)</t>
  </si>
  <si>
    <t>Vùng chuyên trồng bưởi da xanh</t>
  </si>
  <si>
    <t>Nguyễn Văn Sơn
Trần Văn Hai
Trần Văn Hậu
Nguyễn Văn Tính
Nguyễn Văn Kiếm</t>
  </si>
  <si>
    <t>trồng bưởi</t>
  </si>
  <si>
    <t>sản xuất theo
 hướng ATSH</t>
  </si>
  <si>
    <t>địa phương 
và Tp HCM</t>
  </si>
  <si>
    <t>0374091723</t>
  </si>
  <si>
    <t>Vùng chuyên trồng dưa hấu</t>
  </si>
  <si>
    <t>Bùi Thanh Danh
Nguyễn Thanh Xuân
Nguyễn Tấn Tài
Bùi Thanh Dự
Trần Hữu Hậu
Nguyễn Châu Giang
Tô Văn Cảnh
Bùi Thanh Long</t>
  </si>
  <si>
    <t>Dưa hấu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</si>
</sst>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"/>
  </numFmts>
  <fonts count="16">
    <font>
      <sz val="10.0"/>
      <color rgb="FF000000"/>
      <name val="Arial"/>
      <scheme val="minor"/>
    </font>
    <font>
      <b/>
      <sz val="14.0"/>
      <color rgb="FF000000"/>
      <name val="&quot;Times New Roman&quot;"/>
    </font>
    <font>
      <b/>
      <sz val="13.0"/>
      <color rgb="FF000000"/>
      <name val="&quot;Times New Roman&quot;"/>
    </font>
    <font>
      <b/>
      <sz val="13.0"/>
      <color rgb="FF000000"/>
      <name val="Times New Roman"/>
    </font>
    <font>
      <color theme="1"/>
      <name val="Arial"/>
      <scheme val="minor"/>
    </font>
    <font>
      <sz val="13.0"/>
      <color rgb="FF000000"/>
      <name val="&quot;Times New Roman&quot;"/>
    </font>
    <font>
      <sz val="13.0"/>
      <color rgb="FF000000"/>
      <name val="Times New Roman"/>
    </font>
    <font>
      <sz val="13.0"/>
      <color theme="1"/>
      <name val="Times New Roman"/>
    </font>
    <font>
      <sz val="14.0"/>
      <color rgb="FF000000"/>
      <name val="&quot;Times New Roman&quot;"/>
    </font>
    <font>
      <sz val="14.0"/>
      <color theme="1"/>
      <name val="&quot;Times New Roman&quot;"/>
    </font>
    <font>
      <b/>
      <sz val="13.0"/>
      <color theme="1"/>
      <name val="Times New Roman"/>
    </font>
    <font>
      <sz val="14.0"/>
      <color rgb="FF000000"/>
      <name val="Times New Roman"/>
    </font>
    <font>
      <sz val="13.0"/>
      <color theme="1"/>
      <name val="&quot;Times New Roman&quot;"/>
    </font>
    <font>
      <sz val="14.0"/>
      <color theme="1"/>
      <name val="Times New Roman"/>
    </font>
    <font>
      <sz val="12.0"/>
      <color theme="1"/>
      <name val="Arial"/>
      <scheme val="minor"/>
    </font>
    <font>
      <sz val="13.0"/>
      <color rgb="FFFF0000"/>
      <name val="&quot;Times New Roman&quot;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left" readingOrder="0" shrinkToFit="0" vertical="bottom" wrapText="0"/>
    </xf>
    <xf borderId="0" fillId="0" fontId="5" numFmtId="3" xfId="0" applyAlignment="1" applyFont="1" applyNumberFormat="1">
      <alignment horizontal="center" readingOrder="0" shrinkToFit="0" vertical="center" wrapText="0"/>
    </xf>
    <xf borderId="0" fillId="0" fontId="5" numFmtId="3" xfId="0" applyAlignment="1" applyFont="1" applyNumberFormat="1">
      <alignment horizontal="center" readingOrder="0" shrinkToFit="0" vertical="bottom" wrapText="0"/>
    </xf>
    <xf quotePrefix="1"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shrinkToFit="0" vertical="bottom" wrapText="0"/>
    </xf>
    <xf borderId="0" fillId="0" fontId="6" numFmtId="164" xfId="0" applyAlignment="1" applyFont="1" applyNumberFormat="1">
      <alignment horizontal="center" readingOrder="0" shrinkToFit="0" vertical="center" wrapText="0"/>
    </xf>
    <xf quotePrefix="1" borderId="0" fillId="0" fontId="6" numFmtId="0" xfId="0" applyAlignment="1" applyFont="1">
      <alignment horizontal="center" readingOrder="0" shrinkToFit="0" vertical="center" wrapText="0"/>
    </xf>
    <xf quotePrefix="1"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6" numFmtId="0" xfId="0" applyAlignment="1" applyFont="1">
      <alignment readingOrder="0" shrinkToFit="0" vertical="bottom" wrapText="0"/>
    </xf>
    <xf borderId="0" fillId="0" fontId="6" numFmtId="2" xfId="0" applyAlignment="1" applyFont="1" applyNumberFormat="1">
      <alignment horizontal="center" readingOrder="0" shrinkToFit="0" vertical="bottom" wrapText="0"/>
    </xf>
    <xf borderId="0" fillId="0" fontId="6" numFmtId="165" xfId="0" applyAlignment="1" applyFont="1" applyNumberFormat="1">
      <alignment horizontal="center" readingOrder="0" shrinkToFit="0" vertical="center" wrapText="0"/>
    </xf>
    <xf borderId="0" fillId="0" fontId="8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vertical="bottom" wrapText="0"/>
    </xf>
    <xf borderId="0" fillId="0" fontId="9" numFmtId="3" xfId="0" applyAlignment="1" applyFont="1" applyNumberFormat="1">
      <alignment horizontal="center" readingOrder="0" vertical="center"/>
    </xf>
    <xf borderId="0" fillId="2" fontId="8" numFmtId="3" xfId="0" applyAlignment="1" applyFill="1" applyFont="1" applyNumberFormat="1">
      <alignment horizontal="center" readingOrder="0" vertical="center"/>
    </xf>
    <xf borderId="0" fillId="0" fontId="8" numFmtId="3" xfId="0" applyAlignment="1" applyFont="1" applyNumberFormat="1">
      <alignment horizontal="center" readingOrder="0"/>
    </xf>
    <xf quotePrefix="1" borderId="0" fillId="0" fontId="8" numFmtId="0" xfId="0" applyAlignment="1" applyFont="1">
      <alignment horizontal="center" readingOrder="0" vertical="center"/>
    </xf>
    <xf quotePrefix="1" borderId="0" fillId="0" fontId="9" numFmtId="0" xfId="0" applyAlignment="1" applyFont="1">
      <alignment horizontal="center" readingOrder="0" vertical="center"/>
    </xf>
    <xf borderId="0" fillId="0" fontId="8" numFmtId="3" xfId="0" applyAlignment="1" applyFont="1" applyNumberFormat="1">
      <alignment horizontal="center" readingOrder="0" vertical="center"/>
    </xf>
    <xf borderId="0" fillId="0" fontId="9" numFmtId="3" xfId="0" applyAlignment="1" applyFont="1" applyNumberFormat="1">
      <alignment horizontal="center" readingOrder="0"/>
    </xf>
    <xf borderId="0" fillId="0" fontId="9" numFmtId="0" xfId="0" applyAlignment="1" applyFont="1">
      <alignment horizontal="center" readingOrder="0" vertical="center"/>
    </xf>
    <xf borderId="0" fillId="0" fontId="5" numFmtId="4" xfId="0" applyAlignment="1" applyFont="1" applyNumberFormat="1">
      <alignment horizontal="center" shrinkToFit="0" vertical="center" wrapText="0"/>
    </xf>
    <xf borderId="0" fillId="0" fontId="5" numFmtId="4" xfId="0" applyAlignment="1" applyFont="1" applyNumberFormat="1">
      <alignment horizontal="center" readingOrder="0" shrinkToFit="0" vertical="center" wrapText="0"/>
    </xf>
    <xf borderId="0" fillId="0" fontId="5" numFmtId="4" xfId="0" applyAlignment="1" applyFont="1" applyNumberFormat="1">
      <alignment horizontal="center" readingOrder="0" shrinkToFit="0" vertical="bottom" wrapText="0"/>
    </xf>
    <xf quotePrefix="1" borderId="0" fillId="0" fontId="8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shrinkToFit="0" vertical="bottom" wrapText="0"/>
    </xf>
    <xf borderId="0" fillId="0" fontId="5" numFmtId="3" xfId="0" applyAlignment="1" applyFont="1" applyNumberFormat="1">
      <alignment readingOrder="0" shrinkToFit="0" vertical="bottom" wrapText="0"/>
    </xf>
    <xf quotePrefix="1" borderId="0" fillId="0" fontId="5" numFmtId="0" xfId="0" applyAlignment="1" applyFont="1">
      <alignment readingOrder="0" shrinkToFit="0" vertical="bottom" wrapText="0"/>
    </xf>
    <xf quotePrefix="1" borderId="0" fillId="0" fontId="7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 vertical="center"/>
    </xf>
    <xf quotePrefix="1" borderId="0" fillId="0" fontId="6" numFmtId="0" xfId="0" applyAlignment="1" applyFont="1">
      <alignment horizontal="center" readingOrder="0" vertical="center"/>
    </xf>
    <xf borderId="0" fillId="0" fontId="3" numFmtId="0" xfId="0" applyAlignment="1" applyFont="1">
      <alignment horizontal="left" readingOrder="0" shrinkToFit="0" vertical="bottom" wrapText="0"/>
    </xf>
    <xf borderId="0" fillId="0" fontId="7" numFmtId="0" xfId="0" applyFont="1"/>
    <xf borderId="0" fillId="0" fontId="3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center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7" numFmtId="3" xfId="0" applyAlignment="1" applyFont="1" applyNumberFormat="1">
      <alignment horizontal="center" readingOrder="0" vertical="center"/>
    </xf>
    <xf borderId="0" fillId="2" fontId="6" numFmtId="3" xfId="0" applyAlignment="1" applyFont="1" applyNumberFormat="1">
      <alignment horizontal="center" readingOrder="0" vertical="center"/>
    </xf>
    <xf borderId="0" fillId="0" fontId="6" numFmtId="3" xfId="0" applyAlignment="1" applyFont="1" applyNumberForma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readingOrder="0" vertical="center"/>
    </xf>
    <xf borderId="0" fillId="0" fontId="10" numFmtId="0" xfId="0" applyAlignment="1" applyFont="1">
      <alignment readingOrder="0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left"/>
    </xf>
    <xf borderId="0" fillId="0" fontId="2" numFmtId="0" xfId="0" applyAlignment="1" applyFont="1">
      <alignment horizontal="center" readingOrder="0"/>
    </xf>
    <xf borderId="0" fillId="3" fontId="5" numFmtId="0" xfId="0" applyAlignment="1" applyFill="1" applyFont="1">
      <alignment horizontal="center" readingOrder="0" vertical="center"/>
    </xf>
    <xf borderId="0" fillId="3" fontId="5" numFmtId="0" xfId="0" applyAlignment="1" applyFont="1">
      <alignment horizontal="left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shrinkToFit="0" vertical="center" wrapText="0"/>
    </xf>
    <xf borderId="0" fillId="3" fontId="5" numFmtId="0" xfId="0" applyAlignment="1" applyFont="1">
      <alignment horizontal="center" readingOrder="0"/>
    </xf>
    <xf borderId="0" fillId="3" fontId="5" numFmtId="0" xfId="0" applyAlignment="1" applyFont="1">
      <alignment horizontal="left" readingOrder="0"/>
    </xf>
    <xf borderId="0" fillId="3" fontId="12" numFmtId="0" xfId="0" applyAlignment="1" applyFont="1">
      <alignment horizontal="left" readingOrder="0" vertical="center"/>
    </xf>
    <xf borderId="0" fillId="0" fontId="5" numFmtId="0" xfId="0" applyAlignment="1" applyFont="1">
      <alignment horizontal="left" readingOrder="0" vertical="center"/>
    </xf>
    <xf borderId="0" fillId="0" fontId="13" numFmtId="0" xfId="0" applyAlignment="1" applyFont="1">
      <alignment readingOrder="0" vertical="center"/>
    </xf>
    <xf borderId="0" fillId="0" fontId="12" numFmtId="0" xfId="0" applyAlignment="1" applyFont="1">
      <alignment horizontal="left" readingOrder="0"/>
    </xf>
    <xf borderId="0" fillId="0" fontId="14" numFmtId="0" xfId="0" applyAlignment="1" applyFont="1">
      <alignment readingOrder="0" vertical="center"/>
    </xf>
    <xf borderId="0" fillId="0" fontId="13" numFmtId="0" xfId="0" applyAlignment="1" applyFont="1">
      <alignment readingOrder="0"/>
    </xf>
    <xf borderId="0" fillId="0" fontId="15" numFmtId="0" xfId="0" applyAlignment="1" applyFont="1">
      <alignment horizontal="left" readingOrder="0"/>
    </xf>
    <xf quotePrefix="1" borderId="0" fillId="0" fontId="5" numFmtId="0" xfId="0" applyAlignment="1" applyFont="1">
      <alignment readingOrder="0" shrinkToFit="0" vertical="center" wrapText="0"/>
    </xf>
    <xf borderId="0" fillId="0" fontId="5" numFmtId="3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33.88"/>
    <col customWidth="1" min="3" max="3" width="30.25"/>
    <col customWidth="1" min="4" max="4" width="24.25"/>
    <col customWidth="1" min="5" max="5" width="31.63"/>
    <col customWidth="1" min="6" max="6" width="15.0"/>
    <col customWidth="1" min="7" max="7" width="35.0"/>
    <col customWidth="1" min="8" max="8" width="18.75"/>
    <col customWidth="1" min="9" max="9" width="13.75"/>
    <col customWidth="1" min="10" max="10" width="22.63"/>
    <col customWidth="1" min="11" max="11" width="24.88"/>
    <col customWidth="1" min="12" max="12" width="25.13"/>
    <col customWidth="1" min="13" max="13" width="26.25"/>
    <col customWidth="1" min="14" max="15" width="15.88"/>
  </cols>
  <sheetData>
    <row r="1">
      <c r="A1" s="1" t="s">
        <v>0</v>
      </c>
    </row>
    <row r="2" ht="49.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  <c r="L2" s="3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1.0</v>
      </c>
      <c r="B3" s="6" t="s">
        <v>17</v>
      </c>
      <c r="C3" s="6" t="s">
        <v>18</v>
      </c>
      <c r="D3" s="6" t="s">
        <v>19</v>
      </c>
      <c r="E3" s="6" t="s">
        <v>20</v>
      </c>
      <c r="F3" s="5">
        <v>17.0</v>
      </c>
      <c r="G3" s="6" t="s">
        <v>21</v>
      </c>
      <c r="H3" s="7">
        <v>27.0</v>
      </c>
      <c r="I3" s="7" t="s">
        <v>22</v>
      </c>
      <c r="J3" s="8" t="s">
        <v>23</v>
      </c>
      <c r="K3" s="9">
        <v>2420.0</v>
      </c>
      <c r="L3" s="9">
        <v>2460.0</v>
      </c>
      <c r="M3" s="10">
        <v>40.0</v>
      </c>
      <c r="N3" s="11" t="s">
        <v>24</v>
      </c>
      <c r="O3" s="5" t="s">
        <v>25</v>
      </c>
      <c r="P3" s="12"/>
    </row>
    <row r="4">
      <c r="A4" s="5">
        <v>2.0</v>
      </c>
      <c r="B4" s="6" t="s">
        <v>26</v>
      </c>
      <c r="C4" s="6" t="s">
        <v>27</v>
      </c>
      <c r="D4" s="6" t="s">
        <v>28</v>
      </c>
      <c r="E4" s="6" t="s">
        <v>29</v>
      </c>
      <c r="F4" s="5">
        <v>1.2</v>
      </c>
      <c r="G4" s="6" t="s">
        <v>30</v>
      </c>
      <c r="H4" s="7">
        <v>5.0</v>
      </c>
      <c r="I4" s="7">
        <v>42.0</v>
      </c>
      <c r="J4" s="8" t="s">
        <v>31</v>
      </c>
      <c r="K4" s="13">
        <v>2.6</v>
      </c>
      <c r="L4" s="13">
        <v>4.1</v>
      </c>
      <c r="M4" s="13">
        <v>1.5</v>
      </c>
      <c r="N4" s="14" t="s">
        <v>32</v>
      </c>
      <c r="O4" s="5" t="s">
        <v>25</v>
      </c>
      <c r="P4" s="12"/>
    </row>
    <row r="5">
      <c r="A5" s="5">
        <v>3.0</v>
      </c>
      <c r="B5" s="6" t="s">
        <v>33</v>
      </c>
      <c r="C5" s="6" t="s">
        <v>34</v>
      </c>
      <c r="D5" s="6" t="s">
        <v>35</v>
      </c>
      <c r="E5" s="6" t="s">
        <v>29</v>
      </c>
      <c r="F5" s="5">
        <v>0.8</v>
      </c>
      <c r="G5" s="6" t="s">
        <v>30</v>
      </c>
      <c r="H5" s="7">
        <v>10.0</v>
      </c>
      <c r="I5" s="7">
        <v>36.0</v>
      </c>
      <c r="J5" s="8" t="s">
        <v>31</v>
      </c>
      <c r="K5" s="13">
        <v>1.9</v>
      </c>
      <c r="L5" s="13">
        <v>2.9</v>
      </c>
      <c r="M5" s="13">
        <v>1.0</v>
      </c>
      <c r="N5" s="15" t="s">
        <v>36</v>
      </c>
      <c r="O5" s="5" t="s">
        <v>25</v>
      </c>
      <c r="P5" s="12"/>
    </row>
    <row r="6">
      <c r="A6" s="5">
        <v>4.0</v>
      </c>
      <c r="B6" s="6" t="s">
        <v>37</v>
      </c>
      <c r="C6" s="6" t="s">
        <v>38</v>
      </c>
      <c r="D6" s="6" t="s">
        <v>39</v>
      </c>
      <c r="E6" s="6" t="s">
        <v>40</v>
      </c>
      <c r="F6" s="5">
        <v>55.3</v>
      </c>
      <c r="G6" s="6" t="s">
        <v>40</v>
      </c>
      <c r="H6" s="7">
        <v>20.0</v>
      </c>
      <c r="I6" s="16">
        <v>80.0</v>
      </c>
      <c r="J6" s="17" t="s">
        <v>41</v>
      </c>
      <c r="K6" s="18">
        <v>113.7231</v>
      </c>
      <c r="L6" s="18">
        <v>206.7692</v>
      </c>
      <c r="M6" s="19">
        <v>93.04615</v>
      </c>
      <c r="N6" s="11" t="s">
        <v>42</v>
      </c>
      <c r="O6" s="20" t="s">
        <v>25</v>
      </c>
      <c r="P6" s="12"/>
    </row>
    <row r="7">
      <c r="A7" s="5">
        <v>5.0</v>
      </c>
      <c r="B7" s="6" t="s">
        <v>43</v>
      </c>
      <c r="C7" s="6" t="s">
        <v>44</v>
      </c>
      <c r="D7" s="6" t="s">
        <v>45</v>
      </c>
      <c r="E7" s="6" t="s">
        <v>46</v>
      </c>
      <c r="F7" s="21">
        <v>285.0</v>
      </c>
      <c r="G7" s="6" t="s">
        <v>46</v>
      </c>
      <c r="H7" s="7">
        <v>33.0</v>
      </c>
      <c r="I7" s="7">
        <v>21.09</v>
      </c>
      <c r="J7" s="8" t="s">
        <v>23</v>
      </c>
      <c r="K7" s="22">
        <v>7923.0</v>
      </c>
      <c r="L7" s="23">
        <v>20520.0</v>
      </c>
      <c r="M7" s="24">
        <v>12597.0</v>
      </c>
      <c r="N7" s="25" t="s">
        <v>47</v>
      </c>
      <c r="O7" s="20" t="s">
        <v>25</v>
      </c>
      <c r="P7" s="12"/>
    </row>
    <row r="8">
      <c r="A8" s="5">
        <v>6.0</v>
      </c>
      <c r="B8" s="6" t="s">
        <v>48</v>
      </c>
      <c r="C8" s="6" t="s">
        <v>49</v>
      </c>
      <c r="D8" s="6" t="s">
        <v>50</v>
      </c>
      <c r="E8" s="6" t="s">
        <v>40</v>
      </c>
      <c r="F8" s="21">
        <v>110.0</v>
      </c>
      <c r="G8" s="6" t="s">
        <v>40</v>
      </c>
      <c r="H8" s="7">
        <v>12.0</v>
      </c>
      <c r="I8" s="7">
        <v>110.0</v>
      </c>
      <c r="J8" s="8" t="s">
        <v>41</v>
      </c>
      <c r="K8" s="9">
        <v>40.0</v>
      </c>
      <c r="L8" s="9">
        <v>70.0</v>
      </c>
      <c r="M8" s="10">
        <v>30.0</v>
      </c>
      <c r="N8" s="26" t="s">
        <v>51</v>
      </c>
      <c r="O8" s="20" t="s">
        <v>25</v>
      </c>
      <c r="P8" s="12"/>
    </row>
    <row r="9">
      <c r="A9" s="5">
        <v>7.0</v>
      </c>
      <c r="B9" s="6" t="s">
        <v>52</v>
      </c>
      <c r="C9" s="6" t="s">
        <v>53</v>
      </c>
      <c r="D9" s="6" t="s">
        <v>28</v>
      </c>
      <c r="E9" s="6" t="s">
        <v>40</v>
      </c>
      <c r="F9" s="5">
        <v>98.0</v>
      </c>
      <c r="G9" s="6" t="s">
        <v>40</v>
      </c>
      <c r="H9" s="7">
        <v>8.0</v>
      </c>
      <c r="I9" s="7">
        <v>98.0</v>
      </c>
      <c r="J9" s="8" t="s">
        <v>41</v>
      </c>
      <c r="K9" s="9">
        <v>45.0</v>
      </c>
      <c r="L9" s="9">
        <v>76.0</v>
      </c>
      <c r="M9" s="10">
        <v>31.0</v>
      </c>
      <c r="N9" s="25" t="s">
        <v>54</v>
      </c>
      <c r="O9" s="20" t="s">
        <v>25</v>
      </c>
      <c r="P9" s="12"/>
    </row>
    <row r="10">
      <c r="A10" s="5">
        <v>8.0</v>
      </c>
      <c r="B10" s="6" t="s">
        <v>55</v>
      </c>
      <c r="C10" s="6" t="s">
        <v>56</v>
      </c>
      <c r="D10" s="6" t="s">
        <v>57</v>
      </c>
      <c r="E10" s="6" t="s">
        <v>40</v>
      </c>
      <c r="F10" s="21">
        <v>195.0</v>
      </c>
      <c r="G10" s="6" t="s">
        <v>40</v>
      </c>
      <c r="H10" s="7">
        <v>8.0</v>
      </c>
      <c r="I10" s="7">
        <v>195.0</v>
      </c>
      <c r="J10" s="8" t="s">
        <v>41</v>
      </c>
      <c r="K10" s="27">
        <v>100.0</v>
      </c>
      <c r="L10" s="22">
        <v>273.0</v>
      </c>
      <c r="M10" s="28">
        <v>173.0</v>
      </c>
      <c r="N10" s="26" t="s">
        <v>58</v>
      </c>
      <c r="O10" s="20" t="s">
        <v>25</v>
      </c>
      <c r="P10" s="12"/>
    </row>
    <row r="11">
      <c r="A11" s="5">
        <v>9.0</v>
      </c>
      <c r="B11" s="6" t="s">
        <v>59</v>
      </c>
      <c r="C11" s="6" t="s">
        <v>60</v>
      </c>
      <c r="D11" s="6" t="s">
        <v>57</v>
      </c>
      <c r="E11" s="6" t="s">
        <v>61</v>
      </c>
      <c r="F11" s="5"/>
      <c r="G11" s="6"/>
      <c r="H11" s="7"/>
      <c r="I11" s="7"/>
      <c r="J11" s="8"/>
      <c r="K11" s="27"/>
      <c r="L11" s="22"/>
      <c r="M11" s="28"/>
      <c r="N11" s="29"/>
      <c r="O11" s="20" t="s">
        <v>25</v>
      </c>
      <c r="P11" s="12"/>
    </row>
    <row r="12">
      <c r="A12" s="5">
        <v>10.0</v>
      </c>
      <c r="B12" s="6" t="s">
        <v>62</v>
      </c>
      <c r="C12" s="6" t="s">
        <v>63</v>
      </c>
      <c r="D12" s="6" t="s">
        <v>35</v>
      </c>
      <c r="E12" s="6" t="s">
        <v>61</v>
      </c>
      <c r="F12" s="5">
        <v>0.5</v>
      </c>
      <c r="G12" s="6" t="s">
        <v>64</v>
      </c>
      <c r="H12" s="7">
        <v>7.0</v>
      </c>
      <c r="I12" s="7" t="s">
        <v>65</v>
      </c>
      <c r="J12" s="8" t="s">
        <v>66</v>
      </c>
      <c r="K12" s="30">
        <f>L12-M12</f>
        <v>55.13</v>
      </c>
      <c r="L12" s="31">
        <v>83.05</v>
      </c>
      <c r="M12" s="32">
        <v>27.92</v>
      </c>
      <c r="N12" s="33" t="s">
        <v>67</v>
      </c>
      <c r="O12" s="20" t="s">
        <v>25</v>
      </c>
      <c r="P12" s="12"/>
    </row>
    <row r="13">
      <c r="A13" s="5">
        <v>11.0</v>
      </c>
      <c r="B13" s="6" t="s">
        <v>68</v>
      </c>
      <c r="C13" s="6" t="s">
        <v>69</v>
      </c>
      <c r="D13" s="6" t="s">
        <v>70</v>
      </c>
      <c r="E13" s="6" t="s">
        <v>71</v>
      </c>
      <c r="F13" s="34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>
      <c r="A14" s="5">
        <v>12.0</v>
      </c>
      <c r="B14" s="6" t="s">
        <v>72</v>
      </c>
      <c r="C14" s="6" t="s">
        <v>73</v>
      </c>
      <c r="D14" s="6" t="s">
        <v>35</v>
      </c>
      <c r="E14" s="6" t="s">
        <v>74</v>
      </c>
      <c r="F14" s="34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>
      <c r="A15" s="5">
        <v>13.0</v>
      </c>
      <c r="B15" s="6" t="s">
        <v>75</v>
      </c>
      <c r="C15" s="6" t="s">
        <v>76</v>
      </c>
      <c r="D15" s="6" t="s">
        <v>70</v>
      </c>
      <c r="E15" s="6" t="s">
        <v>74</v>
      </c>
      <c r="F15" s="34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>
      <c r="A16" s="5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>
      <c r="A17" s="5"/>
      <c r="B17" s="12"/>
      <c r="C17" s="12"/>
      <c r="D17" s="12"/>
      <c r="E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>
      <c r="A18" s="5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>
      <c r="A19" s="5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>
      <c r="A20" s="5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>
      <c r="A21" s="5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>
      <c r="A22" s="5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>
      <c r="A23" s="5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>
      <c r="A24" s="5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>
      <c r="A25" s="5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>
      <c r="A26" s="5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>
      <c r="A27" s="5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</row>
  </sheetData>
  <mergeCells count="1">
    <mergeCell ref="A1:P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32.5"/>
    <col customWidth="1" min="3" max="3" width="18.0"/>
    <col customWidth="1" min="4" max="4" width="25.0"/>
    <col customWidth="1" min="5" max="5" width="36.5"/>
    <col customWidth="1" min="6" max="6" width="17.75"/>
    <col customWidth="1" min="7" max="7" width="29.38"/>
    <col customWidth="1" min="10" max="10" width="26.63"/>
    <col customWidth="1" min="11" max="11" width="24.75"/>
    <col customWidth="1" min="12" max="12" width="28.0"/>
    <col customWidth="1" min="13" max="13" width="27.38"/>
  </cols>
  <sheetData>
    <row r="1">
      <c r="A1" s="1" t="s">
        <v>77</v>
      </c>
    </row>
    <row r="2">
      <c r="A2" s="21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21" t="s">
        <v>7</v>
      </c>
      <c r="H2" s="21" t="s">
        <v>8</v>
      </c>
      <c r="I2" s="21" t="s">
        <v>9</v>
      </c>
      <c r="J2" s="21" t="s">
        <v>10</v>
      </c>
      <c r="K2" s="21" t="s">
        <v>78</v>
      </c>
      <c r="L2" s="21" t="s">
        <v>79</v>
      </c>
      <c r="M2" s="21" t="s">
        <v>13</v>
      </c>
      <c r="N2" s="21" t="s">
        <v>14</v>
      </c>
      <c r="O2" s="21" t="s">
        <v>15</v>
      </c>
      <c r="P2" s="21" t="s">
        <v>16</v>
      </c>
    </row>
    <row r="3">
      <c r="A3" s="5">
        <v>1.0</v>
      </c>
      <c r="B3" s="6" t="s">
        <v>80</v>
      </c>
      <c r="C3" s="6" t="s">
        <v>81</v>
      </c>
      <c r="D3" s="6" t="s">
        <v>82</v>
      </c>
      <c r="E3" s="6" t="s">
        <v>40</v>
      </c>
      <c r="F3" s="6">
        <v>73.0</v>
      </c>
      <c r="G3" s="6" t="s">
        <v>40</v>
      </c>
      <c r="H3" s="6">
        <v>6.0</v>
      </c>
      <c r="I3" s="6" t="s">
        <v>83</v>
      </c>
      <c r="J3" s="6" t="s">
        <v>41</v>
      </c>
      <c r="K3" s="35">
        <v>100.0</v>
      </c>
      <c r="L3" s="35">
        <v>145.0</v>
      </c>
      <c r="M3" s="35">
        <v>45.0</v>
      </c>
      <c r="N3" s="36" t="s">
        <v>84</v>
      </c>
      <c r="O3" s="6" t="s">
        <v>25</v>
      </c>
      <c r="P3" s="12"/>
    </row>
    <row r="4">
      <c r="A4" s="5">
        <v>2.0</v>
      </c>
      <c r="B4" s="6" t="s">
        <v>85</v>
      </c>
      <c r="C4" s="6" t="s">
        <v>86</v>
      </c>
      <c r="D4" s="6" t="s">
        <v>87</v>
      </c>
      <c r="E4" s="6" t="s">
        <v>88</v>
      </c>
      <c r="F4" s="6">
        <v>10.0</v>
      </c>
      <c r="G4" s="6" t="s">
        <v>89</v>
      </c>
      <c r="H4" s="6">
        <v>17.0</v>
      </c>
      <c r="I4" s="6" t="s">
        <v>90</v>
      </c>
      <c r="J4" s="6" t="s">
        <v>91</v>
      </c>
      <c r="K4" s="35">
        <v>1500.0</v>
      </c>
      <c r="L4" s="35">
        <v>2500.0</v>
      </c>
      <c r="M4" s="35">
        <v>1000.0</v>
      </c>
      <c r="N4" s="36" t="s">
        <v>92</v>
      </c>
      <c r="O4" s="6" t="s">
        <v>25</v>
      </c>
      <c r="P4" s="12"/>
    </row>
    <row r="5">
      <c r="A5" s="5">
        <v>3.0</v>
      </c>
      <c r="B5" s="6" t="s">
        <v>93</v>
      </c>
      <c r="C5" s="6" t="s">
        <v>94</v>
      </c>
      <c r="D5" s="6" t="s">
        <v>87</v>
      </c>
      <c r="E5" s="6" t="s">
        <v>95</v>
      </c>
      <c r="F5" s="6">
        <v>30.0</v>
      </c>
      <c r="G5" s="6" t="s">
        <v>21</v>
      </c>
      <c r="H5" s="6">
        <v>7.0</v>
      </c>
      <c r="I5" s="6" t="s">
        <v>96</v>
      </c>
      <c r="J5" s="6" t="s">
        <v>97</v>
      </c>
      <c r="K5" s="6">
        <v>750.0</v>
      </c>
      <c r="L5" s="35">
        <v>1260.0</v>
      </c>
      <c r="M5" s="6">
        <v>510.0</v>
      </c>
      <c r="N5" s="36" t="s">
        <v>98</v>
      </c>
      <c r="O5" s="6" t="s">
        <v>25</v>
      </c>
      <c r="P5" s="12"/>
    </row>
    <row r="6">
      <c r="A6" s="5">
        <v>4.0</v>
      </c>
      <c r="B6" s="6" t="s">
        <v>99</v>
      </c>
      <c r="C6" s="6" t="s">
        <v>100</v>
      </c>
      <c r="D6" s="6" t="s">
        <v>87</v>
      </c>
      <c r="E6" s="6" t="s">
        <v>101</v>
      </c>
      <c r="F6" s="6">
        <v>0.05</v>
      </c>
      <c r="G6" s="6" t="s">
        <v>102</v>
      </c>
      <c r="H6" s="6">
        <v>7.0</v>
      </c>
      <c r="I6" s="6" t="s">
        <v>103</v>
      </c>
      <c r="J6" s="6" t="s">
        <v>91</v>
      </c>
      <c r="K6" s="35">
        <v>2550.0</v>
      </c>
      <c r="L6" s="35">
        <v>3570.0</v>
      </c>
      <c r="M6" s="35">
        <v>1020.0</v>
      </c>
      <c r="N6" s="36" t="s">
        <v>104</v>
      </c>
      <c r="O6" s="6" t="s">
        <v>25</v>
      </c>
      <c r="P6" s="12"/>
    </row>
    <row r="7">
      <c r="A7" s="5">
        <v>5.0</v>
      </c>
      <c r="B7" s="6" t="s">
        <v>105</v>
      </c>
      <c r="C7" s="6" t="s">
        <v>106</v>
      </c>
      <c r="D7" s="6" t="s">
        <v>107</v>
      </c>
      <c r="E7" s="6" t="s">
        <v>40</v>
      </c>
      <c r="F7" s="6">
        <v>30.0</v>
      </c>
      <c r="G7" s="6" t="s">
        <v>40</v>
      </c>
      <c r="H7" s="6">
        <v>1.0</v>
      </c>
      <c r="I7" s="6">
        <v>30.0</v>
      </c>
      <c r="J7" s="6" t="s">
        <v>41</v>
      </c>
      <c r="K7" s="35">
        <v>18.0</v>
      </c>
      <c r="L7" s="35">
        <v>45.0</v>
      </c>
      <c r="M7" s="35">
        <v>27.0</v>
      </c>
      <c r="N7" s="37" t="s">
        <v>108</v>
      </c>
      <c r="O7" s="6" t="s">
        <v>25</v>
      </c>
      <c r="P7" s="12"/>
    </row>
    <row r="8">
      <c r="A8" s="5">
        <v>6.0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</row>
    <row r="9">
      <c r="A9" s="5">
        <v>7.0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>
      <c r="A10" s="5">
        <v>8.0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>
      <c r="A11" s="5">
        <v>9.0</v>
      </c>
    </row>
    <row r="12">
      <c r="A12" s="5">
        <v>10.0</v>
      </c>
    </row>
  </sheetData>
  <mergeCells count="1">
    <mergeCell ref="A1:P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75"/>
    <col customWidth="1" min="3" max="3" width="24.25"/>
    <col customWidth="1" min="4" max="4" width="18.75"/>
    <col customWidth="1" min="5" max="5" width="34.13"/>
    <col customWidth="1" min="6" max="6" width="14.63"/>
    <col customWidth="1" min="7" max="7" width="20.75"/>
    <col customWidth="1" min="8" max="8" width="15.75"/>
    <col customWidth="1" min="9" max="9" width="10.63"/>
    <col customWidth="1" min="10" max="10" width="15.38"/>
    <col customWidth="1" min="11" max="11" width="24.88"/>
    <col customWidth="1" min="12" max="12" width="26.75"/>
    <col customWidth="1" min="13" max="13" width="27.38"/>
    <col customWidth="1" min="14" max="14" width="15.0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3" t="s">
        <v>11</v>
      </c>
      <c r="L1" s="3" t="s">
        <v>12</v>
      </c>
      <c r="M1" s="2" t="s">
        <v>13</v>
      </c>
      <c r="N1" s="2" t="s">
        <v>14</v>
      </c>
      <c r="O1" s="2" t="s">
        <v>15</v>
      </c>
      <c r="P1" s="2" t="s">
        <v>16</v>
      </c>
    </row>
    <row r="2">
      <c r="A2" s="38" t="s">
        <v>1</v>
      </c>
      <c r="B2" s="38" t="s">
        <v>109</v>
      </c>
      <c r="C2" s="38" t="s">
        <v>3</v>
      </c>
      <c r="D2" s="38" t="s">
        <v>4</v>
      </c>
      <c r="E2" s="38" t="s">
        <v>5</v>
      </c>
      <c r="F2" s="38" t="s">
        <v>6</v>
      </c>
      <c r="G2" s="38" t="s">
        <v>7</v>
      </c>
      <c r="H2" s="38" t="s">
        <v>8</v>
      </c>
      <c r="I2" s="38" t="s">
        <v>9</v>
      </c>
      <c r="J2" s="38" t="s">
        <v>10</v>
      </c>
      <c r="K2" s="38" t="s">
        <v>110</v>
      </c>
      <c r="L2" s="38" t="s">
        <v>111</v>
      </c>
      <c r="M2" s="38" t="s">
        <v>112</v>
      </c>
      <c r="N2" s="3" t="s">
        <v>14</v>
      </c>
      <c r="O2" s="3" t="s">
        <v>15</v>
      </c>
      <c r="P2" s="3" t="s">
        <v>16</v>
      </c>
    </row>
    <row r="3" ht="31.5" customHeight="1">
      <c r="A3" s="39">
        <v>1.0</v>
      </c>
      <c r="B3" s="17" t="s">
        <v>113</v>
      </c>
      <c r="C3" s="17" t="s">
        <v>81</v>
      </c>
      <c r="D3" s="17" t="s">
        <v>19</v>
      </c>
      <c r="E3" s="17" t="s">
        <v>114</v>
      </c>
      <c r="F3" s="40">
        <v>56.0</v>
      </c>
      <c r="G3" s="17" t="s">
        <v>115</v>
      </c>
      <c r="H3" s="39">
        <v>3.0</v>
      </c>
      <c r="I3" s="40">
        <v>56.0</v>
      </c>
      <c r="J3" s="17" t="s">
        <v>41</v>
      </c>
      <c r="K3" s="18">
        <v>79.60615</v>
      </c>
      <c r="L3" s="18">
        <v>144.7385</v>
      </c>
      <c r="M3" s="19">
        <v>65.13231</v>
      </c>
      <c r="N3" s="14" t="s">
        <v>84</v>
      </c>
      <c r="O3" s="17" t="s">
        <v>25</v>
      </c>
      <c r="P3" s="17" t="s">
        <v>116</v>
      </c>
    </row>
    <row r="4">
      <c r="A4" s="39">
        <v>2.0</v>
      </c>
      <c r="B4" s="17" t="s">
        <v>117</v>
      </c>
      <c r="C4" s="17" t="s">
        <v>118</v>
      </c>
      <c r="D4" s="17" t="s">
        <v>87</v>
      </c>
      <c r="E4" s="17" t="s">
        <v>114</v>
      </c>
      <c r="F4" s="40">
        <v>17.0</v>
      </c>
      <c r="G4" s="17" t="s">
        <v>115</v>
      </c>
      <c r="H4" s="39">
        <v>3.0</v>
      </c>
      <c r="I4" s="40">
        <v>17.0</v>
      </c>
      <c r="J4" s="17" t="s">
        <v>41</v>
      </c>
      <c r="K4" s="18">
        <v>24.16615</v>
      </c>
      <c r="L4" s="18">
        <v>43.93846</v>
      </c>
      <c r="M4" s="19">
        <v>19.77231</v>
      </c>
      <c r="N4" s="14" t="s">
        <v>119</v>
      </c>
      <c r="O4" s="17" t="s">
        <v>25</v>
      </c>
      <c r="P4" s="17" t="s">
        <v>116</v>
      </c>
    </row>
    <row r="5">
      <c r="A5" s="39">
        <v>3.0</v>
      </c>
      <c r="B5" s="41" t="s">
        <v>120</v>
      </c>
      <c r="C5" s="17" t="s">
        <v>121</v>
      </c>
      <c r="D5" s="17" t="s">
        <v>122</v>
      </c>
      <c r="E5" s="17" t="s">
        <v>114</v>
      </c>
      <c r="F5" s="40">
        <v>169.0</v>
      </c>
      <c r="G5" s="17" t="s">
        <v>115</v>
      </c>
      <c r="H5" s="39">
        <v>2.0</v>
      </c>
      <c r="I5" s="40">
        <v>169.0</v>
      </c>
      <c r="J5" s="17" t="s">
        <v>41</v>
      </c>
      <c r="K5" s="18">
        <v>160.16</v>
      </c>
      <c r="L5" s="18">
        <v>291.2</v>
      </c>
      <c r="M5" s="19">
        <v>131.04</v>
      </c>
      <c r="N5" s="15" t="s">
        <v>123</v>
      </c>
      <c r="O5" s="17" t="s">
        <v>25</v>
      </c>
      <c r="P5" s="17" t="s">
        <v>124</v>
      </c>
    </row>
    <row r="6">
      <c r="A6" s="39">
        <v>4.0</v>
      </c>
      <c r="B6" s="41" t="s">
        <v>125</v>
      </c>
      <c r="C6" s="17" t="s">
        <v>44</v>
      </c>
      <c r="D6" s="17" t="s">
        <v>45</v>
      </c>
      <c r="E6" s="17" t="s">
        <v>114</v>
      </c>
      <c r="F6" s="40">
        <v>100.0</v>
      </c>
      <c r="G6" s="17" t="s">
        <v>115</v>
      </c>
      <c r="H6" s="39">
        <v>33.0</v>
      </c>
      <c r="I6" s="40">
        <v>100.0</v>
      </c>
      <c r="J6" s="17" t="s">
        <v>41</v>
      </c>
      <c r="K6" s="18">
        <v>94.76923</v>
      </c>
      <c r="L6" s="18">
        <v>172.3077</v>
      </c>
      <c r="M6" s="19">
        <v>77.53846</v>
      </c>
      <c r="N6" s="15" t="s">
        <v>47</v>
      </c>
      <c r="O6" s="17" t="s">
        <v>25</v>
      </c>
      <c r="P6" s="17" t="s">
        <v>124</v>
      </c>
    </row>
    <row r="7">
      <c r="A7" s="39">
        <v>5.0</v>
      </c>
      <c r="B7" s="41" t="s">
        <v>126</v>
      </c>
      <c r="C7" s="41" t="s">
        <v>127</v>
      </c>
      <c r="D7" s="17" t="s">
        <v>128</v>
      </c>
      <c r="E7" s="17" t="s">
        <v>114</v>
      </c>
      <c r="F7" s="40">
        <v>80.0</v>
      </c>
      <c r="G7" s="17" t="s">
        <v>115</v>
      </c>
      <c r="H7" s="39">
        <v>5.0</v>
      </c>
      <c r="I7" s="40">
        <v>80.0</v>
      </c>
      <c r="J7" s="17" t="s">
        <v>41</v>
      </c>
      <c r="K7" s="18">
        <v>75.81538</v>
      </c>
      <c r="L7" s="18">
        <v>137.8462</v>
      </c>
      <c r="M7" s="19">
        <v>62.03077</v>
      </c>
      <c r="N7" s="15" t="s">
        <v>123</v>
      </c>
      <c r="O7" s="17" t="s">
        <v>25</v>
      </c>
      <c r="P7" s="17" t="s">
        <v>124</v>
      </c>
    </row>
    <row r="8">
      <c r="A8" s="39">
        <v>6.0</v>
      </c>
      <c r="B8" s="41" t="s">
        <v>129</v>
      </c>
      <c r="C8" s="41" t="s">
        <v>130</v>
      </c>
      <c r="D8" s="17" t="s">
        <v>131</v>
      </c>
      <c r="E8" s="17" t="s">
        <v>114</v>
      </c>
      <c r="F8" s="40">
        <v>100.0</v>
      </c>
      <c r="G8" s="17" t="s">
        <v>115</v>
      </c>
      <c r="H8" s="39">
        <v>4.0</v>
      </c>
      <c r="I8" s="40">
        <v>100.0</v>
      </c>
      <c r="J8" s="17" t="s">
        <v>41</v>
      </c>
      <c r="K8" s="18">
        <v>94.76923</v>
      </c>
      <c r="L8" s="18">
        <v>172.3077</v>
      </c>
      <c r="M8" s="19">
        <v>77.53846</v>
      </c>
      <c r="N8" s="15" t="s">
        <v>132</v>
      </c>
      <c r="O8" s="42" t="s">
        <v>25</v>
      </c>
      <c r="P8" s="17" t="s">
        <v>124</v>
      </c>
    </row>
    <row r="9">
      <c r="A9" s="39">
        <v>7.0</v>
      </c>
      <c r="B9" s="41" t="s">
        <v>133</v>
      </c>
      <c r="C9" s="41" t="s">
        <v>134</v>
      </c>
      <c r="D9" s="17" t="s">
        <v>45</v>
      </c>
      <c r="E9" s="17" t="s">
        <v>114</v>
      </c>
      <c r="F9" s="16">
        <v>12.0</v>
      </c>
      <c r="G9" s="17" t="s">
        <v>115</v>
      </c>
      <c r="H9" s="43">
        <v>1.0</v>
      </c>
      <c r="I9" s="16">
        <v>12.0</v>
      </c>
      <c r="J9" s="17" t="s">
        <v>41</v>
      </c>
      <c r="K9" s="18">
        <v>17.05846</v>
      </c>
      <c r="L9" s="18">
        <v>31.01538</v>
      </c>
      <c r="M9" s="19">
        <v>13.95692</v>
      </c>
      <c r="N9" s="44"/>
      <c r="O9" s="42" t="s">
        <v>25</v>
      </c>
      <c r="P9" s="17" t="s">
        <v>116</v>
      </c>
    </row>
    <row r="10">
      <c r="A10" s="39">
        <v>8.0</v>
      </c>
      <c r="B10" s="41" t="s">
        <v>135</v>
      </c>
      <c r="C10" s="41" t="s">
        <v>56</v>
      </c>
      <c r="D10" s="41" t="s">
        <v>136</v>
      </c>
      <c r="E10" s="17" t="s">
        <v>114</v>
      </c>
      <c r="F10" s="16">
        <v>100.0</v>
      </c>
      <c r="G10" s="17" t="s">
        <v>115</v>
      </c>
      <c r="H10" s="43">
        <v>8.0</v>
      </c>
      <c r="I10" s="16">
        <v>100.0</v>
      </c>
      <c r="J10" s="17" t="s">
        <v>41</v>
      </c>
      <c r="K10" s="18">
        <v>94.76923</v>
      </c>
      <c r="L10" s="18">
        <v>172.3077</v>
      </c>
      <c r="M10" s="19">
        <v>77.53846</v>
      </c>
      <c r="N10" s="15" t="s">
        <v>58</v>
      </c>
      <c r="O10" s="42" t="s">
        <v>25</v>
      </c>
      <c r="P10" s="17" t="s">
        <v>124</v>
      </c>
    </row>
    <row r="11">
      <c r="A11" s="39">
        <v>9.0</v>
      </c>
      <c r="B11" s="41" t="s">
        <v>137</v>
      </c>
      <c r="C11" s="41" t="s">
        <v>56</v>
      </c>
      <c r="D11" s="41" t="s">
        <v>136</v>
      </c>
      <c r="E11" s="17" t="s">
        <v>114</v>
      </c>
      <c r="F11" s="16">
        <v>100.0</v>
      </c>
      <c r="G11" s="17" t="s">
        <v>115</v>
      </c>
      <c r="H11" s="43">
        <v>8.0</v>
      </c>
      <c r="I11" s="16">
        <v>195.0</v>
      </c>
      <c r="J11" s="17" t="s">
        <v>41</v>
      </c>
      <c r="K11" s="18">
        <v>94.76923</v>
      </c>
      <c r="L11" s="18">
        <v>172.3077</v>
      </c>
      <c r="M11" s="19">
        <v>77.53846</v>
      </c>
      <c r="N11" s="15" t="s">
        <v>58</v>
      </c>
      <c r="O11" s="42" t="s">
        <v>25</v>
      </c>
      <c r="P11" s="17" t="s">
        <v>124</v>
      </c>
    </row>
    <row r="12">
      <c r="A12" s="39">
        <v>10.0</v>
      </c>
      <c r="B12" s="41" t="s">
        <v>138</v>
      </c>
      <c r="C12" s="41" t="s">
        <v>139</v>
      </c>
      <c r="D12" s="41" t="s">
        <v>28</v>
      </c>
      <c r="E12" s="17" t="s">
        <v>114</v>
      </c>
      <c r="F12" s="16">
        <v>98.0</v>
      </c>
      <c r="G12" s="17" t="s">
        <v>115</v>
      </c>
      <c r="H12" s="43">
        <v>8.0</v>
      </c>
      <c r="I12" s="16">
        <v>96.0</v>
      </c>
      <c r="J12" s="17" t="s">
        <v>41</v>
      </c>
      <c r="K12" s="18">
        <v>92.87385</v>
      </c>
      <c r="L12" s="18">
        <v>168.8615</v>
      </c>
      <c r="M12" s="19">
        <v>75.98769</v>
      </c>
      <c r="N12" s="45" t="s">
        <v>54</v>
      </c>
      <c r="O12" s="42" t="s">
        <v>25</v>
      </c>
      <c r="P12" s="17" t="s">
        <v>124</v>
      </c>
    </row>
    <row r="13">
      <c r="A13" s="39">
        <v>11.0</v>
      </c>
      <c r="B13" s="41" t="s">
        <v>140</v>
      </c>
      <c r="C13" s="41" t="s">
        <v>139</v>
      </c>
      <c r="D13" s="17" t="s">
        <v>45</v>
      </c>
      <c r="E13" s="17" t="s">
        <v>114</v>
      </c>
      <c r="F13" s="16">
        <v>16.0</v>
      </c>
      <c r="G13" s="17" t="s">
        <v>115</v>
      </c>
      <c r="H13" s="43">
        <v>2.0</v>
      </c>
      <c r="I13" s="16">
        <v>16.0</v>
      </c>
      <c r="J13" s="17" t="s">
        <v>41</v>
      </c>
      <c r="K13" s="18">
        <v>22.74462</v>
      </c>
      <c r="L13" s="18">
        <v>41.35385</v>
      </c>
      <c r="M13" s="19">
        <v>18.60923</v>
      </c>
      <c r="N13" s="45" t="s">
        <v>54</v>
      </c>
      <c r="O13" s="42" t="s">
        <v>25</v>
      </c>
      <c r="P13" s="17" t="s">
        <v>116</v>
      </c>
    </row>
    <row r="14">
      <c r="A14" s="39">
        <v>12.0</v>
      </c>
      <c r="B14" s="41" t="s">
        <v>141</v>
      </c>
      <c r="C14" s="41" t="s">
        <v>142</v>
      </c>
      <c r="D14" s="41" t="s">
        <v>143</v>
      </c>
      <c r="E14" s="17" t="s">
        <v>114</v>
      </c>
      <c r="F14" s="16">
        <v>85.0</v>
      </c>
      <c r="G14" s="17" t="s">
        <v>115</v>
      </c>
      <c r="H14" s="43">
        <v>1.0</v>
      </c>
      <c r="I14" s="16">
        <v>85.0</v>
      </c>
      <c r="J14" s="17" t="s">
        <v>41</v>
      </c>
      <c r="K14" s="18">
        <v>120.8308</v>
      </c>
      <c r="L14" s="18">
        <v>219.6923</v>
      </c>
      <c r="M14" s="19">
        <v>98.86154</v>
      </c>
      <c r="N14" s="15" t="s">
        <v>144</v>
      </c>
      <c r="O14" s="42" t="s">
        <v>25</v>
      </c>
      <c r="P14" s="17" t="s">
        <v>116</v>
      </c>
    </row>
    <row r="15">
      <c r="A15" s="39">
        <v>13.0</v>
      </c>
      <c r="B15" s="41" t="s">
        <v>145</v>
      </c>
      <c r="C15" s="41" t="s">
        <v>106</v>
      </c>
      <c r="D15" s="41" t="s">
        <v>143</v>
      </c>
      <c r="E15" s="17" t="s">
        <v>114</v>
      </c>
      <c r="F15" s="16">
        <v>30.0</v>
      </c>
      <c r="G15" s="17" t="s">
        <v>115</v>
      </c>
      <c r="H15" s="43">
        <v>1.0</v>
      </c>
      <c r="I15" s="16">
        <v>30.0</v>
      </c>
      <c r="J15" s="17" t="s">
        <v>41</v>
      </c>
      <c r="K15" s="18">
        <v>42.64615</v>
      </c>
      <c r="L15" s="18">
        <v>77.53846</v>
      </c>
      <c r="M15" s="19">
        <v>34.89231</v>
      </c>
      <c r="N15" s="15" t="s">
        <v>108</v>
      </c>
      <c r="O15" s="42" t="s">
        <v>25</v>
      </c>
      <c r="P15" s="17" t="s">
        <v>116</v>
      </c>
    </row>
    <row r="16">
      <c r="A16" s="43">
        <v>14.0</v>
      </c>
      <c r="B16" s="41" t="s">
        <v>146</v>
      </c>
      <c r="C16" s="17" t="s">
        <v>49</v>
      </c>
      <c r="D16" s="17" t="s">
        <v>50</v>
      </c>
      <c r="E16" s="17" t="s">
        <v>114</v>
      </c>
      <c r="F16" s="16">
        <v>110.0</v>
      </c>
      <c r="G16" s="17" t="s">
        <v>115</v>
      </c>
      <c r="H16" s="43">
        <v>3.0</v>
      </c>
      <c r="I16" s="16">
        <v>110.0</v>
      </c>
      <c r="J16" s="17" t="s">
        <v>41</v>
      </c>
      <c r="K16" s="18">
        <v>181.9569</v>
      </c>
      <c r="L16" s="18">
        <v>330.8308</v>
      </c>
      <c r="M16" s="19">
        <v>148.8738</v>
      </c>
      <c r="N16" s="15" t="s">
        <v>51</v>
      </c>
      <c r="O16" s="42" t="s">
        <v>25</v>
      </c>
      <c r="P16" s="17" t="s">
        <v>124</v>
      </c>
    </row>
    <row r="17">
      <c r="A17" s="43">
        <v>15.0</v>
      </c>
      <c r="B17" s="41" t="s">
        <v>147</v>
      </c>
      <c r="C17" s="17" t="s">
        <v>148</v>
      </c>
      <c r="D17" s="17" t="s">
        <v>149</v>
      </c>
      <c r="E17" s="17" t="s">
        <v>114</v>
      </c>
      <c r="F17" s="16">
        <v>94.0</v>
      </c>
      <c r="G17" s="17" t="s">
        <v>115</v>
      </c>
      <c r="H17" s="43" t="s">
        <v>148</v>
      </c>
      <c r="I17" s="16">
        <v>94.0</v>
      </c>
      <c r="J17" s="17" t="s">
        <v>41</v>
      </c>
      <c r="K17" s="18">
        <v>89.08308</v>
      </c>
      <c r="L17" s="18">
        <v>161.9692</v>
      </c>
      <c r="M17" s="19">
        <v>72.88615</v>
      </c>
      <c r="N17" s="16" t="s">
        <v>148</v>
      </c>
      <c r="O17" s="42" t="s">
        <v>150</v>
      </c>
      <c r="P17" s="41" t="s">
        <v>124</v>
      </c>
    </row>
    <row r="18">
      <c r="A18" s="43">
        <v>16.0</v>
      </c>
      <c r="B18" s="41" t="s">
        <v>151</v>
      </c>
      <c r="C18" s="17" t="s">
        <v>121</v>
      </c>
      <c r="D18" s="17" t="s">
        <v>39</v>
      </c>
      <c r="E18" s="17" t="s">
        <v>114</v>
      </c>
      <c r="F18" s="16">
        <v>330.0</v>
      </c>
      <c r="G18" s="17" t="s">
        <v>115</v>
      </c>
      <c r="H18" s="43">
        <v>4.0</v>
      </c>
      <c r="I18" s="16">
        <v>330.0</v>
      </c>
      <c r="J18" s="17" t="s">
        <v>41</v>
      </c>
      <c r="K18" s="18">
        <v>469.1077</v>
      </c>
      <c r="L18" s="18">
        <v>852.9231</v>
      </c>
      <c r="M18" s="19">
        <v>383.8154</v>
      </c>
      <c r="N18" s="15" t="s">
        <v>123</v>
      </c>
      <c r="O18" s="42" t="s">
        <v>25</v>
      </c>
      <c r="P18" s="41" t="s">
        <v>116</v>
      </c>
    </row>
    <row r="19">
      <c r="A19" s="43">
        <v>17.0</v>
      </c>
      <c r="B19" s="41" t="s">
        <v>152</v>
      </c>
      <c r="C19" s="17" t="s">
        <v>153</v>
      </c>
      <c r="D19" s="17" t="s">
        <v>39</v>
      </c>
      <c r="E19" s="17" t="s">
        <v>114</v>
      </c>
      <c r="F19" s="16">
        <v>80.0</v>
      </c>
      <c r="G19" s="17" t="s">
        <v>115</v>
      </c>
      <c r="H19" s="43">
        <v>20.0</v>
      </c>
      <c r="I19" s="16">
        <v>80.0</v>
      </c>
      <c r="J19" s="17" t="s">
        <v>41</v>
      </c>
      <c r="K19" s="18">
        <v>113.7231</v>
      </c>
      <c r="L19" s="18">
        <v>206.7692</v>
      </c>
      <c r="M19" s="19">
        <v>93.04615</v>
      </c>
      <c r="N19" s="15" t="s">
        <v>42</v>
      </c>
      <c r="O19" s="42" t="s">
        <v>25</v>
      </c>
      <c r="P19" s="41" t="s">
        <v>116</v>
      </c>
    </row>
    <row r="20">
      <c r="A20" s="43">
        <v>18.0</v>
      </c>
      <c r="B20" s="41" t="s">
        <v>137</v>
      </c>
      <c r="C20" s="41" t="s">
        <v>56</v>
      </c>
      <c r="D20" s="41" t="s">
        <v>136</v>
      </c>
      <c r="E20" s="17" t="s">
        <v>114</v>
      </c>
      <c r="F20" s="16">
        <v>95.0</v>
      </c>
      <c r="G20" s="17" t="s">
        <v>115</v>
      </c>
      <c r="H20" s="43">
        <v>8.0</v>
      </c>
      <c r="I20" s="16">
        <v>95.0</v>
      </c>
      <c r="J20" s="17" t="s">
        <v>41</v>
      </c>
      <c r="K20" s="18">
        <v>90.03077</v>
      </c>
      <c r="L20" s="18">
        <v>163.6923</v>
      </c>
      <c r="M20" s="19">
        <v>73.66154</v>
      </c>
      <c r="N20" s="15" t="s">
        <v>58</v>
      </c>
      <c r="O20" s="42" t="s">
        <v>25</v>
      </c>
      <c r="P20" s="17" t="s">
        <v>124</v>
      </c>
    </row>
    <row r="21">
      <c r="A21" s="43">
        <v>19.0</v>
      </c>
      <c r="B21" s="41" t="s">
        <v>154</v>
      </c>
      <c r="C21" s="17" t="s">
        <v>155</v>
      </c>
      <c r="D21" s="17" t="s">
        <v>39</v>
      </c>
      <c r="E21" s="17" t="s">
        <v>114</v>
      </c>
      <c r="F21" s="16">
        <v>39.0</v>
      </c>
      <c r="G21" s="17" t="s">
        <v>115</v>
      </c>
      <c r="H21" s="43">
        <v>3.0</v>
      </c>
      <c r="I21" s="16">
        <v>39.0</v>
      </c>
      <c r="J21" s="17" t="s">
        <v>41</v>
      </c>
      <c r="K21" s="18">
        <v>66.33846</v>
      </c>
      <c r="L21" s="18">
        <v>120.6154</v>
      </c>
      <c r="M21" s="19">
        <v>54.27692</v>
      </c>
      <c r="N21" s="15" t="s">
        <v>156</v>
      </c>
      <c r="O21" s="42" t="s">
        <v>25</v>
      </c>
      <c r="P21" s="41" t="s">
        <v>116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54.38"/>
    <col customWidth="1" min="3" max="3" width="23.25"/>
    <col customWidth="1" min="4" max="4" width="16.88"/>
    <col customWidth="1" min="5" max="5" width="21.25"/>
    <col customWidth="1" min="6" max="6" width="9.63"/>
    <col customWidth="1" min="7" max="7" width="22.5"/>
    <col customWidth="1" min="8" max="8" width="13.5"/>
    <col customWidth="1" min="9" max="9" width="14.75"/>
    <col customWidth="1" min="10" max="10" width="11.38"/>
    <col customWidth="1" min="11" max="11" width="15.63"/>
    <col customWidth="1" min="12" max="12" width="17.88"/>
    <col customWidth="1" min="13" max="13" width="15.5"/>
    <col customWidth="1" min="14" max="14" width="15.75"/>
    <col customWidth="1" min="15" max="15" width="15.25"/>
  </cols>
  <sheetData>
    <row r="1">
      <c r="A1" s="46" t="s">
        <v>157</v>
      </c>
      <c r="Q1" s="47"/>
      <c r="R1" s="47"/>
      <c r="S1" s="47"/>
      <c r="T1" s="47"/>
      <c r="U1" s="47"/>
      <c r="V1" s="47"/>
      <c r="W1" s="47"/>
      <c r="X1" s="47"/>
      <c r="Y1" s="47"/>
      <c r="Z1" s="47"/>
    </row>
    <row r="2" ht="38.2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158</v>
      </c>
      <c r="F2" s="3" t="s">
        <v>159</v>
      </c>
      <c r="G2" s="3" t="s">
        <v>7</v>
      </c>
      <c r="H2" s="3" t="s">
        <v>8</v>
      </c>
      <c r="I2" s="3" t="s">
        <v>160</v>
      </c>
      <c r="J2" s="3" t="s">
        <v>161</v>
      </c>
      <c r="K2" s="3" t="s">
        <v>11</v>
      </c>
      <c r="L2" s="3" t="s">
        <v>12</v>
      </c>
      <c r="M2" s="3" t="s">
        <v>162</v>
      </c>
      <c r="N2" s="3" t="s">
        <v>14</v>
      </c>
      <c r="O2" s="3" t="s">
        <v>15</v>
      </c>
      <c r="P2" s="3" t="s">
        <v>16</v>
      </c>
      <c r="Q2" s="47"/>
      <c r="R2" s="47"/>
      <c r="S2" s="47"/>
      <c r="T2" s="47"/>
      <c r="U2" s="47"/>
      <c r="V2" s="47"/>
      <c r="W2" s="47"/>
      <c r="X2" s="47"/>
      <c r="Y2" s="47"/>
      <c r="Z2" s="47"/>
    </row>
    <row r="3">
      <c r="A3" s="39"/>
      <c r="B3" s="48" t="s">
        <v>163</v>
      </c>
      <c r="C3" s="17"/>
      <c r="D3" s="17"/>
      <c r="E3" s="49"/>
      <c r="F3" s="50"/>
      <c r="G3" s="49"/>
      <c r="H3" s="50"/>
      <c r="I3" s="50"/>
      <c r="J3" s="49"/>
      <c r="K3" s="50"/>
      <c r="L3" s="50"/>
      <c r="M3" s="50"/>
      <c r="N3" s="50"/>
      <c r="O3" s="49"/>
      <c r="P3" s="49"/>
      <c r="Q3" s="47"/>
      <c r="R3" s="47"/>
      <c r="S3" s="47"/>
      <c r="T3" s="47"/>
      <c r="U3" s="47"/>
      <c r="V3" s="47"/>
      <c r="W3" s="47"/>
      <c r="X3" s="47"/>
      <c r="Y3" s="47"/>
      <c r="Z3" s="47"/>
    </row>
    <row r="4">
      <c r="A4" s="39">
        <v>1.0</v>
      </c>
      <c r="B4" s="17" t="s">
        <v>43</v>
      </c>
      <c r="C4" s="17" t="s">
        <v>44</v>
      </c>
      <c r="D4" s="51" t="s">
        <v>70</v>
      </c>
      <c r="E4" s="17" t="s">
        <v>46</v>
      </c>
      <c r="F4" s="40">
        <v>285.0</v>
      </c>
      <c r="G4" s="17" t="s">
        <v>46</v>
      </c>
      <c r="H4" s="40">
        <v>33.0</v>
      </c>
      <c r="I4" s="40">
        <v>21.09</v>
      </c>
      <c r="J4" s="49"/>
      <c r="K4" s="52">
        <v>7.923E9</v>
      </c>
      <c r="L4" s="53">
        <v>2.052E10</v>
      </c>
      <c r="M4" s="54">
        <v>1.2597E10</v>
      </c>
      <c r="N4" s="55">
        <v>9.0740386E8</v>
      </c>
      <c r="O4" s="42" t="s">
        <v>25</v>
      </c>
      <c r="P4" s="49"/>
      <c r="Q4" s="47"/>
      <c r="R4" s="47"/>
      <c r="S4" s="47"/>
      <c r="T4" s="47"/>
      <c r="U4" s="47"/>
      <c r="V4" s="47"/>
      <c r="W4" s="47"/>
      <c r="X4" s="47"/>
      <c r="Y4" s="47"/>
      <c r="Z4" s="47"/>
    </row>
    <row r="5">
      <c r="A5" s="39">
        <v>2.0</v>
      </c>
      <c r="B5" s="17" t="s">
        <v>164</v>
      </c>
      <c r="C5" s="51" t="s">
        <v>165</v>
      </c>
      <c r="E5" s="51" t="s">
        <v>166</v>
      </c>
      <c r="F5" s="40">
        <v>1.3</v>
      </c>
      <c r="G5" s="51" t="s">
        <v>167</v>
      </c>
      <c r="H5" s="40">
        <v>1.0</v>
      </c>
      <c r="I5" s="40">
        <v>14.0</v>
      </c>
      <c r="J5" s="51" t="s">
        <v>168</v>
      </c>
      <c r="K5" s="40">
        <v>280.0</v>
      </c>
      <c r="L5" s="40">
        <v>470.0</v>
      </c>
      <c r="M5" s="40">
        <v>190.0</v>
      </c>
      <c r="N5" s="14" t="s">
        <v>169</v>
      </c>
      <c r="O5" s="56" t="s">
        <v>170</v>
      </c>
      <c r="P5" s="49"/>
      <c r="Q5" s="47"/>
      <c r="R5" s="47"/>
      <c r="S5" s="47"/>
      <c r="T5" s="47"/>
      <c r="U5" s="47"/>
      <c r="V5" s="47"/>
      <c r="W5" s="47"/>
      <c r="X5" s="47"/>
      <c r="Y5" s="47"/>
      <c r="Z5" s="47"/>
    </row>
    <row r="6">
      <c r="A6" s="39">
        <v>3.0</v>
      </c>
      <c r="B6" s="17" t="s">
        <v>171</v>
      </c>
      <c r="C6" s="51" t="s">
        <v>172</v>
      </c>
      <c r="D6" s="51" t="s">
        <v>28</v>
      </c>
      <c r="E6" s="51" t="s">
        <v>173</v>
      </c>
      <c r="F6" s="40">
        <v>1.82</v>
      </c>
      <c r="G6" s="51" t="s">
        <v>167</v>
      </c>
      <c r="H6" s="40">
        <v>1.0</v>
      </c>
      <c r="I6" s="40">
        <v>8.0</v>
      </c>
      <c r="J6" s="51" t="s">
        <v>168</v>
      </c>
      <c r="K6" s="40">
        <v>225.0</v>
      </c>
      <c r="L6" s="40">
        <v>496.0</v>
      </c>
      <c r="M6" s="40">
        <v>271.0</v>
      </c>
      <c r="N6" s="15" t="s">
        <v>174</v>
      </c>
      <c r="O6" s="56" t="s">
        <v>170</v>
      </c>
      <c r="P6" s="49"/>
      <c r="Q6" s="47"/>
      <c r="R6" s="47"/>
      <c r="S6" s="47"/>
      <c r="T6" s="47"/>
      <c r="U6" s="47"/>
      <c r="V6" s="47"/>
      <c r="W6" s="47"/>
      <c r="X6" s="47"/>
      <c r="Y6" s="47"/>
      <c r="Z6" s="47"/>
    </row>
    <row r="7">
      <c r="A7" s="39">
        <v>4.0</v>
      </c>
      <c r="B7" s="41" t="s">
        <v>175</v>
      </c>
      <c r="C7" s="41" t="s">
        <v>86</v>
      </c>
      <c r="D7" s="41" t="s">
        <v>176</v>
      </c>
      <c r="E7" s="41" t="s">
        <v>177</v>
      </c>
      <c r="F7" s="16">
        <v>25.0</v>
      </c>
      <c r="G7" s="41" t="s">
        <v>178</v>
      </c>
      <c r="H7" s="16">
        <v>19.0</v>
      </c>
      <c r="I7" s="16">
        <v>560.0</v>
      </c>
      <c r="J7" s="41" t="s">
        <v>179</v>
      </c>
      <c r="K7" s="16">
        <v>250.0</v>
      </c>
      <c r="L7" s="16">
        <v>670.0</v>
      </c>
      <c r="M7" s="16">
        <v>420.0</v>
      </c>
      <c r="N7" s="15" t="s">
        <v>92</v>
      </c>
      <c r="O7" s="41" t="s">
        <v>170</v>
      </c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>
      <c r="A8" s="39">
        <v>5.0</v>
      </c>
      <c r="B8" s="17" t="s">
        <v>180</v>
      </c>
      <c r="C8" s="17" t="s">
        <v>181</v>
      </c>
      <c r="D8" s="17" t="s">
        <v>182</v>
      </c>
      <c r="E8" s="17" t="s">
        <v>183</v>
      </c>
      <c r="F8" s="40">
        <v>1.0</v>
      </c>
      <c r="G8" s="17" t="s">
        <v>184</v>
      </c>
      <c r="H8" s="40">
        <v>1.0</v>
      </c>
      <c r="I8" s="40">
        <v>12.0</v>
      </c>
      <c r="J8" s="41" t="s">
        <v>179</v>
      </c>
      <c r="K8" s="40">
        <v>270.0</v>
      </c>
      <c r="L8" s="40">
        <v>850.0</v>
      </c>
      <c r="M8" s="40">
        <v>580.0</v>
      </c>
      <c r="N8" s="14" t="s">
        <v>185</v>
      </c>
      <c r="O8" s="41" t="s">
        <v>170</v>
      </c>
      <c r="P8" s="49"/>
      <c r="Q8" s="47"/>
      <c r="R8" s="47"/>
      <c r="S8" s="47"/>
      <c r="T8" s="47"/>
      <c r="U8" s="47"/>
      <c r="V8" s="47"/>
      <c r="W8" s="47"/>
      <c r="X8" s="47"/>
      <c r="Y8" s="47"/>
      <c r="Z8" s="47"/>
    </row>
    <row r="9">
      <c r="A9" s="39">
        <v>6.0</v>
      </c>
      <c r="B9" s="17" t="s">
        <v>186</v>
      </c>
      <c r="C9" s="49"/>
      <c r="D9" s="17"/>
      <c r="E9" s="49"/>
      <c r="F9" s="50"/>
      <c r="G9" s="49"/>
      <c r="H9" s="50"/>
      <c r="I9" s="50"/>
      <c r="J9" s="49"/>
      <c r="K9" s="50"/>
      <c r="L9" s="50"/>
      <c r="M9" s="50"/>
      <c r="N9" s="50"/>
      <c r="O9" s="49"/>
      <c r="P9" s="49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>
      <c r="A10" s="39">
        <v>7.0</v>
      </c>
      <c r="B10" s="41" t="s">
        <v>187</v>
      </c>
      <c r="C10" s="17" t="s">
        <v>49</v>
      </c>
      <c r="D10" s="17" t="s">
        <v>50</v>
      </c>
      <c r="E10" s="41" t="s">
        <v>187</v>
      </c>
      <c r="F10" s="40">
        <v>110.0</v>
      </c>
      <c r="G10" s="17" t="s">
        <v>46</v>
      </c>
      <c r="H10" s="40">
        <v>70.0</v>
      </c>
      <c r="I10" s="40">
        <v>8.14</v>
      </c>
      <c r="J10" s="41" t="s">
        <v>179</v>
      </c>
      <c r="K10" s="54">
        <v>3.058E8</v>
      </c>
      <c r="L10" s="54">
        <v>7.92E8</v>
      </c>
      <c r="M10" s="52">
        <v>4.862E8</v>
      </c>
      <c r="N10" s="15" t="s">
        <v>51</v>
      </c>
      <c r="O10" s="41" t="s">
        <v>170</v>
      </c>
      <c r="P10" s="49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>
      <c r="A11" s="47"/>
      <c r="B11" s="57" t="s">
        <v>188</v>
      </c>
      <c r="C11" s="47"/>
      <c r="D11" s="47"/>
      <c r="E11" s="47"/>
      <c r="F11" s="44"/>
      <c r="G11" s="47"/>
      <c r="H11" s="44"/>
      <c r="I11" s="44"/>
      <c r="J11" s="47"/>
      <c r="K11" s="44"/>
      <c r="L11" s="44"/>
      <c r="M11" s="44"/>
      <c r="N11" s="44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>
      <c r="A12" s="43">
        <v>1.0</v>
      </c>
      <c r="B12" s="41" t="s">
        <v>189</v>
      </c>
      <c r="C12" s="41" t="s">
        <v>190</v>
      </c>
      <c r="D12" s="41" t="s">
        <v>45</v>
      </c>
      <c r="E12" s="41" t="s">
        <v>191</v>
      </c>
      <c r="F12" s="16">
        <v>52.0</v>
      </c>
      <c r="G12" s="41" t="s">
        <v>192</v>
      </c>
      <c r="H12" s="16">
        <v>52.0</v>
      </c>
      <c r="I12" s="16">
        <v>38.45</v>
      </c>
      <c r="J12" s="41" t="s">
        <v>193</v>
      </c>
      <c r="K12" s="52">
        <v>1.4456E8</v>
      </c>
      <c r="L12" s="52">
        <v>3.744E8</v>
      </c>
      <c r="M12" s="52">
        <v>3.59944E8</v>
      </c>
      <c r="N12" s="45" t="s">
        <v>194</v>
      </c>
      <c r="O12" s="41" t="s">
        <v>170</v>
      </c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>
      <c r="A13" s="43">
        <v>2.0</v>
      </c>
      <c r="B13" s="41" t="s">
        <v>195</v>
      </c>
      <c r="C13" s="41" t="s">
        <v>196</v>
      </c>
      <c r="D13" s="41" t="s">
        <v>39</v>
      </c>
      <c r="E13" s="41" t="s">
        <v>197</v>
      </c>
      <c r="F13" s="16">
        <v>3.3</v>
      </c>
      <c r="G13" s="41" t="s">
        <v>198</v>
      </c>
      <c r="H13" s="16">
        <v>1.0</v>
      </c>
      <c r="I13" s="44"/>
      <c r="J13" s="41" t="s">
        <v>199</v>
      </c>
      <c r="K13" s="44"/>
      <c r="L13" s="44"/>
      <c r="M13" s="44"/>
      <c r="N13" s="44"/>
      <c r="O13" s="41" t="s">
        <v>170</v>
      </c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>
      <c r="A14" s="43">
        <v>3.0</v>
      </c>
      <c r="B14" s="41" t="s">
        <v>200</v>
      </c>
      <c r="C14" s="41" t="s">
        <v>201</v>
      </c>
      <c r="D14" s="41" t="s">
        <v>202</v>
      </c>
      <c r="E14" s="41" t="s">
        <v>203</v>
      </c>
      <c r="F14" s="16">
        <v>0.25</v>
      </c>
      <c r="G14" s="41" t="s">
        <v>204</v>
      </c>
      <c r="H14" s="16">
        <v>1.0</v>
      </c>
      <c r="I14" s="16">
        <v>3.0</v>
      </c>
      <c r="J14" s="41" t="s">
        <v>205</v>
      </c>
      <c r="K14" s="52">
        <v>1.0E8</v>
      </c>
      <c r="L14" s="52">
        <v>4.0E8</v>
      </c>
      <c r="M14" s="52">
        <v>3.0E8</v>
      </c>
      <c r="N14" s="15" t="s">
        <v>206</v>
      </c>
      <c r="O14" s="41" t="s">
        <v>170</v>
      </c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>
      <c r="A15" s="43">
        <v>4.0</v>
      </c>
      <c r="B15" s="41" t="s">
        <v>207</v>
      </c>
      <c r="C15" s="41" t="s">
        <v>208</v>
      </c>
      <c r="D15" s="41" t="s">
        <v>202</v>
      </c>
      <c r="E15" s="41" t="s">
        <v>209</v>
      </c>
      <c r="F15" s="16">
        <v>0.036</v>
      </c>
      <c r="G15" s="41" t="s">
        <v>210</v>
      </c>
      <c r="H15" s="16">
        <v>1.0</v>
      </c>
      <c r="I15" s="16" t="s">
        <v>211</v>
      </c>
      <c r="J15" s="41" t="s">
        <v>199</v>
      </c>
      <c r="K15" s="44"/>
      <c r="L15" s="44"/>
      <c r="M15" s="44"/>
      <c r="N15" s="15" t="s">
        <v>212</v>
      </c>
      <c r="O15" s="41" t="s">
        <v>170</v>
      </c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>
      <c r="A16" s="43">
        <v>5.0</v>
      </c>
      <c r="B16" s="41" t="s">
        <v>213</v>
      </c>
      <c r="C16" s="41" t="s">
        <v>214</v>
      </c>
      <c r="D16" s="41" t="s">
        <v>45</v>
      </c>
      <c r="E16" s="41" t="s">
        <v>215</v>
      </c>
      <c r="F16" s="16">
        <v>0.6</v>
      </c>
      <c r="G16" s="41" t="s">
        <v>210</v>
      </c>
      <c r="H16" s="16">
        <v>1.0</v>
      </c>
      <c r="I16" s="16" t="s">
        <v>216</v>
      </c>
      <c r="J16" s="47"/>
      <c r="K16" s="16" t="s">
        <v>217</v>
      </c>
      <c r="L16" s="16" t="s">
        <v>218</v>
      </c>
      <c r="M16" s="16" t="s">
        <v>219</v>
      </c>
      <c r="N16" s="44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>
      <c r="A17" s="47"/>
      <c r="B17" s="41"/>
      <c r="C17" s="47"/>
      <c r="D17" s="47"/>
      <c r="E17" s="47"/>
      <c r="F17" s="44"/>
      <c r="G17" s="47"/>
      <c r="H17" s="44"/>
      <c r="I17" s="44"/>
      <c r="J17" s="47"/>
      <c r="K17" s="44"/>
      <c r="L17" s="44"/>
      <c r="M17" s="44"/>
      <c r="N17" s="44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>
      <c r="A18" s="47"/>
      <c r="B18" s="57" t="s">
        <v>220</v>
      </c>
      <c r="C18" s="47"/>
      <c r="D18" s="47"/>
      <c r="E18" s="47"/>
      <c r="F18" s="44"/>
      <c r="G18" s="47"/>
      <c r="H18" s="44"/>
      <c r="I18" s="44"/>
      <c r="J18" s="47"/>
      <c r="K18" s="44"/>
      <c r="L18" s="44"/>
      <c r="M18" s="44"/>
      <c r="N18" s="44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>
      <c r="A19" s="39">
        <v>1.0</v>
      </c>
      <c r="B19" s="58" t="s">
        <v>26</v>
      </c>
      <c r="C19" s="58" t="s">
        <v>27</v>
      </c>
      <c r="D19" s="58" t="s">
        <v>28</v>
      </c>
      <c r="E19" s="39" t="s">
        <v>221</v>
      </c>
      <c r="F19" s="40">
        <v>1.2</v>
      </c>
      <c r="G19" s="58" t="s">
        <v>222</v>
      </c>
      <c r="H19" s="40">
        <v>5.0</v>
      </c>
      <c r="I19" s="40">
        <v>42.0</v>
      </c>
      <c r="J19" s="17" t="s">
        <v>223</v>
      </c>
      <c r="K19" s="13">
        <v>2.6</v>
      </c>
      <c r="L19" s="13">
        <v>4.1</v>
      </c>
      <c r="M19" s="13">
        <v>1.5</v>
      </c>
      <c r="N19" s="14" t="s">
        <v>32</v>
      </c>
      <c r="O19" s="56" t="s">
        <v>170</v>
      </c>
      <c r="P19" s="49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>
      <c r="A20" s="39">
        <v>2.0</v>
      </c>
      <c r="B20" s="58" t="s">
        <v>33</v>
      </c>
      <c r="C20" s="58" t="s">
        <v>34</v>
      </c>
      <c r="D20" s="58" t="s">
        <v>35</v>
      </c>
      <c r="E20" s="39" t="s">
        <v>221</v>
      </c>
      <c r="F20" s="40">
        <v>0.8</v>
      </c>
      <c r="G20" s="58" t="s">
        <v>222</v>
      </c>
      <c r="H20" s="40">
        <v>10.0</v>
      </c>
      <c r="I20" s="40">
        <v>36.0</v>
      </c>
      <c r="J20" s="17" t="s">
        <v>223</v>
      </c>
      <c r="K20" s="13">
        <v>1.9</v>
      </c>
      <c r="L20" s="13">
        <v>2.9</v>
      </c>
      <c r="M20" s="13">
        <v>1.0</v>
      </c>
      <c r="N20" s="15" t="s">
        <v>36</v>
      </c>
      <c r="O20" s="56" t="s">
        <v>170</v>
      </c>
      <c r="P20" s="49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>
      <c r="A21" s="47"/>
      <c r="B21" s="59"/>
      <c r="C21" s="59"/>
      <c r="D21" s="59"/>
      <c r="E21" s="47"/>
      <c r="F21" s="44"/>
      <c r="G21" s="59"/>
      <c r="H21" s="44"/>
      <c r="I21" s="44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>
      <c r="A22" s="47"/>
      <c r="B22" s="47"/>
      <c r="C22" s="47"/>
      <c r="D22" s="47"/>
      <c r="E22" s="47"/>
      <c r="F22" s="44"/>
      <c r="G22" s="47"/>
      <c r="H22" s="44"/>
      <c r="I22" s="44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>
      <c r="A23" s="47"/>
      <c r="B23" s="47"/>
      <c r="C23" s="47"/>
      <c r="D23" s="47"/>
      <c r="E23" s="47"/>
      <c r="F23" s="47"/>
      <c r="G23" s="47"/>
      <c r="H23" s="44"/>
      <c r="I23" s="44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>
      <c r="A24" s="47"/>
      <c r="B24" s="47"/>
      <c r="C24" s="47"/>
      <c r="D24" s="47"/>
      <c r="E24" s="47"/>
      <c r="F24" s="47"/>
      <c r="G24" s="47"/>
      <c r="H24" s="44"/>
      <c r="I24" s="44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>
      <c r="A25" s="47"/>
      <c r="B25" s="47"/>
      <c r="C25" s="47"/>
      <c r="D25" s="47"/>
      <c r="E25" s="47"/>
      <c r="F25" s="47"/>
      <c r="G25" s="47"/>
      <c r="H25" s="44"/>
      <c r="I25" s="44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>
      <c r="A26" s="47"/>
      <c r="B26" s="47"/>
      <c r="C26" s="47"/>
      <c r="D26" s="47"/>
      <c r="E26" s="47"/>
      <c r="F26" s="47"/>
      <c r="G26" s="47"/>
      <c r="H26" s="44"/>
      <c r="I26" s="44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>
      <c r="A27" s="47"/>
      <c r="B27" s="47"/>
      <c r="C27" s="47"/>
      <c r="D27" s="47"/>
      <c r="E27" s="47"/>
      <c r="F27" s="47"/>
      <c r="G27" s="47"/>
      <c r="H27" s="44"/>
      <c r="I27" s="44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>
      <c r="A28" s="47"/>
      <c r="B28" s="47"/>
      <c r="C28" s="47"/>
      <c r="D28" s="47"/>
      <c r="E28" s="47"/>
      <c r="F28" s="47"/>
      <c r="G28" s="47"/>
      <c r="H28" s="44"/>
      <c r="I28" s="44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>
      <c r="A29" s="47"/>
      <c r="B29" s="47"/>
      <c r="C29" s="47"/>
      <c r="D29" s="47"/>
      <c r="E29" s="47"/>
      <c r="F29" s="47"/>
      <c r="G29" s="47"/>
      <c r="H29" s="44"/>
      <c r="I29" s="44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>
      <c r="A30" s="47"/>
      <c r="B30" s="47"/>
      <c r="C30" s="47"/>
      <c r="D30" s="47"/>
      <c r="E30" s="47"/>
      <c r="F30" s="47"/>
      <c r="G30" s="47"/>
      <c r="H30" s="44"/>
      <c r="I30" s="44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>
      <c r="A31" s="47"/>
      <c r="B31" s="47"/>
      <c r="C31" s="47"/>
      <c r="D31" s="47"/>
      <c r="E31" s="47"/>
      <c r="F31" s="47"/>
      <c r="G31" s="47"/>
      <c r="H31" s="44"/>
      <c r="I31" s="44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>
      <c r="A32" s="47"/>
      <c r="B32" s="47"/>
      <c r="C32" s="47"/>
      <c r="D32" s="47"/>
      <c r="E32" s="47"/>
      <c r="F32" s="47"/>
      <c r="G32" s="47"/>
      <c r="H32" s="44"/>
      <c r="I32" s="44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>
      <c r="A33" s="47"/>
      <c r="B33" s="47"/>
      <c r="C33" s="47"/>
      <c r="D33" s="47"/>
      <c r="E33" s="47"/>
      <c r="F33" s="47"/>
      <c r="G33" s="47"/>
      <c r="H33" s="44"/>
      <c r="I33" s="44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>
      <c r="A34" s="47"/>
      <c r="B34" s="47"/>
      <c r="C34" s="47"/>
      <c r="D34" s="47"/>
      <c r="E34" s="47"/>
      <c r="F34" s="47"/>
      <c r="G34" s="47"/>
      <c r="H34" s="44"/>
      <c r="I34" s="44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>
      <c r="A35" s="47"/>
      <c r="B35" s="47"/>
      <c r="C35" s="47"/>
      <c r="D35" s="47"/>
      <c r="E35" s="47"/>
      <c r="F35" s="47"/>
      <c r="G35" s="47"/>
      <c r="H35" s="44"/>
      <c r="I35" s="44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  <row r="1001">
      <c r="A1001" s="47"/>
      <c r="B1001" s="47"/>
      <c r="C1001" s="47"/>
      <c r="D1001" s="47"/>
      <c r="E1001" s="47"/>
      <c r="F1001" s="47"/>
      <c r="G1001" s="47"/>
      <c r="H1001" s="47"/>
      <c r="I1001" s="47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</row>
    <row r="1002">
      <c r="A1002" s="47"/>
      <c r="B1002" s="47"/>
      <c r="C1002" s="47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  <c r="W1002" s="47"/>
      <c r="X1002" s="47"/>
      <c r="Y1002" s="47"/>
      <c r="Z1002" s="47"/>
    </row>
    <row r="1003">
      <c r="A1003" s="47"/>
      <c r="B1003" s="47"/>
      <c r="C1003" s="47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  <c r="S1003" s="47"/>
      <c r="T1003" s="47"/>
      <c r="U1003" s="47"/>
      <c r="V1003" s="47"/>
      <c r="W1003" s="47"/>
      <c r="X1003" s="47"/>
      <c r="Y1003" s="47"/>
      <c r="Z1003" s="47"/>
    </row>
  </sheetData>
  <mergeCells count="1">
    <mergeCell ref="A1:P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0"/>
    <col customWidth="1" min="3" max="3" width="29.75"/>
    <col customWidth="1" min="4" max="4" width="16.0"/>
    <col customWidth="1" min="5" max="5" width="22.25"/>
    <col customWidth="1" min="6" max="6" width="17.25"/>
    <col customWidth="1" min="7" max="7" width="36.75"/>
    <col customWidth="1" min="9" max="9" width="20.63"/>
    <col customWidth="1" min="12" max="12" width="17.25"/>
    <col customWidth="1" min="13" max="13" width="16.25"/>
    <col customWidth="1" min="14" max="14" width="14.0"/>
    <col customWidth="1" min="16" max="16" width="14.38"/>
    <col customWidth="1" min="17" max="17" width="15.38"/>
  </cols>
  <sheetData>
    <row r="1">
      <c r="A1" s="1" t="s">
        <v>224</v>
      </c>
    </row>
    <row r="2">
      <c r="A2" s="60" t="s">
        <v>1</v>
      </c>
      <c r="B2" s="21" t="s">
        <v>225</v>
      </c>
      <c r="C2" s="21" t="s">
        <v>226</v>
      </c>
      <c r="D2" s="21" t="s">
        <v>227</v>
      </c>
      <c r="E2" s="21" t="s">
        <v>3</v>
      </c>
      <c r="F2" s="21" t="s">
        <v>4</v>
      </c>
      <c r="G2" s="21" t="s">
        <v>5</v>
      </c>
      <c r="H2" s="21" t="s">
        <v>6</v>
      </c>
      <c r="I2" s="21" t="s">
        <v>7</v>
      </c>
      <c r="J2" s="21" t="s">
        <v>8</v>
      </c>
      <c r="K2" s="21" t="s">
        <v>9</v>
      </c>
      <c r="L2" s="21" t="s">
        <v>10</v>
      </c>
      <c r="M2" s="21" t="s">
        <v>228</v>
      </c>
      <c r="N2" s="21" t="s">
        <v>229</v>
      </c>
      <c r="O2" s="21" t="s">
        <v>230</v>
      </c>
      <c r="P2" s="21" t="s">
        <v>14</v>
      </c>
      <c r="Q2" s="21" t="s">
        <v>15</v>
      </c>
      <c r="R2" s="21" t="s">
        <v>16</v>
      </c>
    </row>
    <row r="3">
      <c r="A3" s="7">
        <v>1.0</v>
      </c>
      <c r="B3" s="61" t="s">
        <v>231</v>
      </c>
      <c r="C3" s="6" t="s">
        <v>232</v>
      </c>
      <c r="D3" s="61" t="s">
        <v>233</v>
      </c>
      <c r="E3" s="62" t="s">
        <v>38</v>
      </c>
      <c r="F3" s="6" t="s">
        <v>234</v>
      </c>
      <c r="G3" s="6" t="s">
        <v>235</v>
      </c>
      <c r="H3" s="6" t="s">
        <v>236</v>
      </c>
      <c r="I3" s="6" t="s">
        <v>237</v>
      </c>
      <c r="J3" s="7">
        <v>2.0</v>
      </c>
      <c r="K3" s="6" t="s">
        <v>238</v>
      </c>
      <c r="L3" s="41" t="s">
        <v>239</v>
      </c>
      <c r="M3" s="7">
        <v>45.0</v>
      </c>
      <c r="N3" s="7">
        <v>100.0</v>
      </c>
      <c r="O3" s="6">
        <v>55.0</v>
      </c>
      <c r="P3" s="11" t="s">
        <v>84</v>
      </c>
      <c r="Q3" s="7" t="s">
        <v>25</v>
      </c>
      <c r="R3" s="12"/>
    </row>
    <row r="4">
      <c r="C4" s="6" t="s">
        <v>240</v>
      </c>
      <c r="D4" s="61" t="s">
        <v>233</v>
      </c>
      <c r="G4" s="6" t="s">
        <v>241</v>
      </c>
      <c r="H4" s="6" t="s">
        <v>236</v>
      </c>
      <c r="I4" s="6" t="s">
        <v>237</v>
      </c>
      <c r="K4" s="6" t="s">
        <v>238</v>
      </c>
      <c r="L4" s="41" t="s">
        <v>239</v>
      </c>
      <c r="M4" s="7">
        <v>25.0</v>
      </c>
      <c r="N4" s="7">
        <v>60.0</v>
      </c>
      <c r="O4" s="6">
        <v>35.0</v>
      </c>
      <c r="R4" s="12"/>
    </row>
    <row r="5" ht="26.25" customHeight="1">
      <c r="A5" s="7">
        <v>2.0</v>
      </c>
      <c r="B5" s="63" t="s">
        <v>242</v>
      </c>
      <c r="C5" s="64" t="s">
        <v>243</v>
      </c>
      <c r="D5" s="61" t="s">
        <v>233</v>
      </c>
      <c r="E5" s="65" t="s">
        <v>244</v>
      </c>
      <c r="F5" s="65" t="s">
        <v>245</v>
      </c>
      <c r="G5" s="6" t="s">
        <v>246</v>
      </c>
      <c r="H5" s="66" t="s">
        <v>247</v>
      </c>
      <c r="I5" s="65" t="s">
        <v>237</v>
      </c>
      <c r="J5" s="7">
        <v>1.0</v>
      </c>
      <c r="K5" s="6" t="s">
        <v>248</v>
      </c>
      <c r="L5" s="41" t="s">
        <v>239</v>
      </c>
      <c r="M5" s="7">
        <v>740.0</v>
      </c>
      <c r="N5" s="7">
        <v>1850.0</v>
      </c>
      <c r="O5" s="6">
        <v>1110.0</v>
      </c>
      <c r="P5" s="11" t="s">
        <v>249</v>
      </c>
      <c r="Q5" s="7" t="s">
        <v>25</v>
      </c>
      <c r="R5" s="12"/>
    </row>
    <row r="6" ht="34.5" customHeight="1">
      <c r="C6" s="65" t="s">
        <v>250</v>
      </c>
      <c r="D6" s="61" t="s">
        <v>233</v>
      </c>
      <c r="G6" s="6" t="s">
        <v>251</v>
      </c>
      <c r="H6" s="66" t="s">
        <v>247</v>
      </c>
      <c r="I6" s="65" t="s">
        <v>237</v>
      </c>
      <c r="K6" s="6" t="s">
        <v>252</v>
      </c>
      <c r="L6" s="41" t="s">
        <v>239</v>
      </c>
      <c r="M6" s="7">
        <v>260.0</v>
      </c>
      <c r="N6" s="7">
        <v>650.0</v>
      </c>
      <c r="O6" s="67">
        <v>390.0</v>
      </c>
      <c r="R6" s="12"/>
    </row>
    <row r="7">
      <c r="A7" s="7">
        <v>3.0</v>
      </c>
      <c r="B7" s="63" t="s">
        <v>253</v>
      </c>
      <c r="C7" s="64" t="s">
        <v>254</v>
      </c>
      <c r="D7" s="61" t="s">
        <v>233</v>
      </c>
      <c r="E7" s="65" t="s">
        <v>255</v>
      </c>
      <c r="F7" s="65" t="s">
        <v>256</v>
      </c>
      <c r="G7" s="64" t="s">
        <v>257</v>
      </c>
      <c r="H7" s="66" t="s">
        <v>258</v>
      </c>
      <c r="I7" s="65" t="s">
        <v>237</v>
      </c>
      <c r="J7" s="7">
        <v>1.0</v>
      </c>
      <c r="K7" s="6" t="s">
        <v>259</v>
      </c>
      <c r="L7" s="41" t="s">
        <v>239</v>
      </c>
      <c r="M7" s="68">
        <v>261.0</v>
      </c>
      <c r="N7" s="7">
        <v>580.0</v>
      </c>
      <c r="O7" s="12">
        <v>319.0</v>
      </c>
      <c r="P7" s="14" t="s">
        <v>260</v>
      </c>
      <c r="Q7" s="7" t="s">
        <v>25</v>
      </c>
      <c r="R7" s="12"/>
    </row>
    <row r="8">
      <c r="C8" s="64" t="s">
        <v>261</v>
      </c>
      <c r="D8" s="61" t="s">
        <v>233</v>
      </c>
      <c r="G8" s="64" t="s">
        <v>262</v>
      </c>
      <c r="H8" s="66" t="s">
        <v>258</v>
      </c>
      <c r="I8" s="65" t="s">
        <v>237</v>
      </c>
      <c r="K8" s="6" t="s">
        <v>263</v>
      </c>
      <c r="L8" s="41" t="s">
        <v>239</v>
      </c>
      <c r="M8" s="68">
        <v>130.5</v>
      </c>
      <c r="N8" s="7">
        <v>290.0</v>
      </c>
      <c r="O8" s="12">
        <v>159.5</v>
      </c>
      <c r="R8" s="12"/>
    </row>
    <row r="9">
      <c r="C9" s="64" t="s">
        <v>264</v>
      </c>
      <c r="D9" s="61" t="s">
        <v>233</v>
      </c>
      <c r="G9" s="64" t="s">
        <v>265</v>
      </c>
      <c r="H9" s="66" t="s">
        <v>258</v>
      </c>
      <c r="I9" s="65" t="s">
        <v>237</v>
      </c>
      <c r="K9" s="6" t="s">
        <v>65</v>
      </c>
      <c r="L9" s="41" t="s">
        <v>239</v>
      </c>
      <c r="M9" s="68">
        <v>135.0</v>
      </c>
      <c r="N9" s="7">
        <v>300.0</v>
      </c>
      <c r="O9" s="12">
        <v>165.0</v>
      </c>
      <c r="R9" s="12"/>
    </row>
    <row r="10" ht="26.25" customHeight="1">
      <c r="A10" s="5">
        <v>4.0</v>
      </c>
      <c r="B10" s="69" t="s">
        <v>266</v>
      </c>
      <c r="C10" s="70" t="s">
        <v>267</v>
      </c>
      <c r="D10" s="61" t="s">
        <v>233</v>
      </c>
      <c r="E10" s="6" t="s">
        <v>94</v>
      </c>
      <c r="F10" s="6" t="s">
        <v>87</v>
      </c>
      <c r="G10" s="70" t="s">
        <v>268</v>
      </c>
      <c r="H10" s="6" t="s">
        <v>236</v>
      </c>
      <c r="I10" s="65" t="s">
        <v>237</v>
      </c>
      <c r="J10" s="5">
        <v>1.0</v>
      </c>
      <c r="K10" s="6" t="s">
        <v>269</v>
      </c>
      <c r="L10" s="6" t="s">
        <v>270</v>
      </c>
      <c r="M10" s="7">
        <v>56.0</v>
      </c>
      <c r="N10" s="7">
        <v>280.0</v>
      </c>
      <c r="O10" s="6">
        <v>224.0</v>
      </c>
      <c r="P10" s="11" t="s">
        <v>98</v>
      </c>
      <c r="Q10" s="5" t="s">
        <v>25</v>
      </c>
      <c r="R10" s="12"/>
    </row>
    <row r="11" ht="43.5" customHeight="1">
      <c r="A11" s="7">
        <v>5.0</v>
      </c>
      <c r="B11" s="61" t="s">
        <v>271</v>
      </c>
      <c r="C11" s="71" t="s">
        <v>272</v>
      </c>
      <c r="D11" s="61" t="s">
        <v>233</v>
      </c>
      <c r="E11" s="65" t="s">
        <v>273</v>
      </c>
      <c r="F11" s="65" t="s">
        <v>234</v>
      </c>
      <c r="G11" s="6" t="s">
        <v>274</v>
      </c>
      <c r="H11" s="66" t="s">
        <v>275</v>
      </c>
      <c r="I11" s="65" t="s">
        <v>237</v>
      </c>
      <c r="J11" s="7">
        <v>1.0</v>
      </c>
      <c r="K11" s="6" t="s">
        <v>276</v>
      </c>
      <c r="L11" s="6" t="s">
        <v>270</v>
      </c>
      <c r="M11" s="7">
        <v>120.0</v>
      </c>
      <c r="N11" s="7">
        <v>269.0</v>
      </c>
      <c r="O11" s="6">
        <v>149.0</v>
      </c>
      <c r="P11" s="11" t="s">
        <v>277</v>
      </c>
      <c r="Q11" s="7" t="s">
        <v>25</v>
      </c>
      <c r="R11" s="12"/>
    </row>
    <row r="12" ht="45.75" customHeight="1">
      <c r="A12" s="7">
        <v>6.0</v>
      </c>
      <c r="B12" s="61" t="s">
        <v>278</v>
      </c>
      <c r="C12" s="72" t="s">
        <v>279</v>
      </c>
      <c r="D12" s="61" t="s">
        <v>280</v>
      </c>
      <c r="E12" s="73" t="s">
        <v>34</v>
      </c>
      <c r="F12" s="56" t="s">
        <v>281</v>
      </c>
      <c r="G12" s="56" t="s">
        <v>282</v>
      </c>
      <c r="H12" s="73">
        <v>0.8</v>
      </c>
      <c r="I12" s="65" t="s">
        <v>237</v>
      </c>
      <c r="J12" s="16">
        <v>10.0</v>
      </c>
      <c r="K12" s="16">
        <v>36.0</v>
      </c>
      <c r="L12" s="6" t="s">
        <v>223</v>
      </c>
      <c r="M12" s="13">
        <v>1.9</v>
      </c>
      <c r="N12" s="13">
        <v>2.9</v>
      </c>
      <c r="O12" s="13">
        <v>1.0</v>
      </c>
      <c r="P12" s="15" t="s">
        <v>36</v>
      </c>
      <c r="Q12" s="7" t="s">
        <v>25</v>
      </c>
    </row>
    <row r="13" ht="23.25" customHeight="1">
      <c r="A13" s="7">
        <v>7.0</v>
      </c>
      <c r="B13" s="61" t="s">
        <v>283</v>
      </c>
      <c r="C13" s="74" t="s">
        <v>284</v>
      </c>
      <c r="D13" s="61" t="s">
        <v>233</v>
      </c>
      <c r="E13" s="75" t="s">
        <v>285</v>
      </c>
      <c r="F13" s="56" t="s">
        <v>286</v>
      </c>
      <c r="G13" s="74" t="s">
        <v>287</v>
      </c>
      <c r="H13" s="76" t="s">
        <v>288</v>
      </c>
      <c r="I13" s="65" t="s">
        <v>237</v>
      </c>
      <c r="J13" s="16">
        <v>1.0</v>
      </c>
      <c r="K13" s="41" t="s">
        <v>289</v>
      </c>
      <c r="L13" s="41" t="s">
        <v>290</v>
      </c>
      <c r="M13" s="4"/>
      <c r="N13" s="4"/>
      <c r="P13" s="15" t="s">
        <v>291</v>
      </c>
      <c r="Q13" s="7" t="s">
        <v>25</v>
      </c>
    </row>
    <row r="14" ht="23.25" customHeight="1">
      <c r="C14" s="64" t="s">
        <v>292</v>
      </c>
      <c r="D14" s="61" t="s">
        <v>280</v>
      </c>
      <c r="G14" s="64" t="s">
        <v>293</v>
      </c>
      <c r="H14" s="76" t="s">
        <v>288</v>
      </c>
      <c r="I14" s="65" t="s">
        <v>237</v>
      </c>
      <c r="K14" s="41" t="s">
        <v>289</v>
      </c>
      <c r="L14" s="41" t="s">
        <v>290</v>
      </c>
      <c r="M14" s="4"/>
      <c r="N14" s="4"/>
    </row>
    <row r="15" ht="23.25" customHeight="1">
      <c r="C15" s="64" t="s">
        <v>294</v>
      </c>
      <c r="D15" s="61" t="s">
        <v>280</v>
      </c>
      <c r="G15" s="64" t="s">
        <v>295</v>
      </c>
      <c r="H15" s="76" t="s">
        <v>288</v>
      </c>
      <c r="I15" s="65" t="s">
        <v>237</v>
      </c>
      <c r="K15" s="41" t="s">
        <v>289</v>
      </c>
      <c r="L15" s="41" t="s">
        <v>290</v>
      </c>
      <c r="M15" s="4"/>
      <c r="N15" s="4"/>
    </row>
    <row r="16" ht="23.25" customHeight="1">
      <c r="C16" s="64" t="s">
        <v>296</v>
      </c>
      <c r="D16" s="61" t="s">
        <v>280</v>
      </c>
      <c r="G16" s="64" t="s">
        <v>297</v>
      </c>
      <c r="H16" s="76" t="s">
        <v>288</v>
      </c>
      <c r="I16" s="65" t="s">
        <v>237</v>
      </c>
      <c r="K16" s="41" t="s">
        <v>289</v>
      </c>
      <c r="L16" s="41" t="s">
        <v>290</v>
      </c>
      <c r="M16" s="4"/>
      <c r="N16" s="4"/>
    </row>
    <row r="17" ht="23.25" customHeight="1">
      <c r="C17" s="64" t="s">
        <v>298</v>
      </c>
      <c r="D17" s="61" t="s">
        <v>280</v>
      </c>
      <c r="G17" s="64" t="s">
        <v>299</v>
      </c>
      <c r="H17" s="76" t="s">
        <v>288</v>
      </c>
      <c r="I17" s="65" t="s">
        <v>237</v>
      </c>
      <c r="K17" s="41" t="s">
        <v>289</v>
      </c>
      <c r="L17" s="41" t="s">
        <v>290</v>
      </c>
      <c r="M17" s="4"/>
      <c r="N17" s="4"/>
    </row>
    <row r="18" ht="23.25" customHeight="1">
      <c r="A18" s="7">
        <v>8.0</v>
      </c>
      <c r="B18" s="61" t="s">
        <v>300</v>
      </c>
      <c r="C18" s="77" t="s">
        <v>301</v>
      </c>
      <c r="D18" s="61" t="s">
        <v>280</v>
      </c>
      <c r="E18" s="56" t="s">
        <v>302</v>
      </c>
      <c r="F18" s="56" t="s">
        <v>281</v>
      </c>
      <c r="G18" s="77" t="s">
        <v>303</v>
      </c>
      <c r="H18" s="76" t="s">
        <v>288</v>
      </c>
      <c r="I18" s="65" t="s">
        <v>237</v>
      </c>
      <c r="J18" s="16">
        <v>1.0</v>
      </c>
      <c r="K18" s="41" t="s">
        <v>304</v>
      </c>
      <c r="L18" s="41" t="s">
        <v>239</v>
      </c>
      <c r="M18" s="4"/>
      <c r="N18" s="4"/>
      <c r="P18" s="15" t="s">
        <v>305</v>
      </c>
      <c r="Q18" s="7" t="s">
        <v>25</v>
      </c>
    </row>
    <row r="19" ht="23.25" customHeight="1">
      <c r="C19" s="77" t="s">
        <v>306</v>
      </c>
      <c r="D19" s="61" t="s">
        <v>280</v>
      </c>
      <c r="G19" s="77" t="s">
        <v>307</v>
      </c>
      <c r="H19" s="76" t="s">
        <v>288</v>
      </c>
      <c r="I19" s="65" t="s">
        <v>237</v>
      </c>
      <c r="K19" s="41" t="s">
        <v>304</v>
      </c>
      <c r="L19" s="41" t="s">
        <v>239</v>
      </c>
      <c r="M19" s="4"/>
      <c r="N19" s="4"/>
    </row>
    <row r="20" ht="38.25" customHeight="1">
      <c r="C20" s="64" t="s">
        <v>308</v>
      </c>
      <c r="D20" s="61" t="s">
        <v>280</v>
      </c>
      <c r="G20" s="64" t="s">
        <v>309</v>
      </c>
      <c r="H20" s="76" t="s">
        <v>288</v>
      </c>
      <c r="I20" s="65" t="s">
        <v>237</v>
      </c>
      <c r="K20" s="41" t="s">
        <v>304</v>
      </c>
      <c r="L20" s="41" t="s">
        <v>239</v>
      </c>
      <c r="M20" s="4"/>
      <c r="N20" s="4"/>
    </row>
    <row r="21" ht="42.75" customHeight="1">
      <c r="C21" s="64" t="s">
        <v>310</v>
      </c>
      <c r="D21" s="61" t="s">
        <v>280</v>
      </c>
      <c r="G21" s="72" t="s">
        <v>311</v>
      </c>
      <c r="H21" s="76" t="s">
        <v>288</v>
      </c>
      <c r="I21" s="65" t="s">
        <v>237</v>
      </c>
      <c r="K21" s="41" t="s">
        <v>304</v>
      </c>
      <c r="L21" s="41" t="s">
        <v>239</v>
      </c>
      <c r="M21" s="4"/>
      <c r="N21" s="4"/>
    </row>
    <row r="22" ht="23.25" customHeight="1"/>
    <row r="23" ht="23.25" customHeight="1"/>
    <row r="24" ht="23.25" customHeight="1"/>
    <row r="25" ht="23.25" customHeight="1"/>
  </sheetData>
  <mergeCells count="36">
    <mergeCell ref="A1:R1"/>
    <mergeCell ref="B3:B4"/>
    <mergeCell ref="E3:E4"/>
    <mergeCell ref="F3:F4"/>
    <mergeCell ref="J3:J4"/>
    <mergeCell ref="P3:P4"/>
    <mergeCell ref="Q3:Q4"/>
    <mergeCell ref="A3:A4"/>
    <mergeCell ref="B5:B6"/>
    <mergeCell ref="E5:E6"/>
    <mergeCell ref="F5:F6"/>
    <mergeCell ref="J5:J6"/>
    <mergeCell ref="P5:P6"/>
    <mergeCell ref="Q5:Q6"/>
    <mergeCell ref="A5:A6"/>
    <mergeCell ref="B7:B9"/>
    <mergeCell ref="E7:E9"/>
    <mergeCell ref="F7:F9"/>
    <mergeCell ref="J7:J9"/>
    <mergeCell ref="P7:P9"/>
    <mergeCell ref="Q7:Q9"/>
    <mergeCell ref="A13:A17"/>
    <mergeCell ref="A18:A21"/>
    <mergeCell ref="B18:B21"/>
    <mergeCell ref="E18:E21"/>
    <mergeCell ref="F18:F21"/>
    <mergeCell ref="J18:J21"/>
    <mergeCell ref="P18:P21"/>
    <mergeCell ref="Q18:Q21"/>
    <mergeCell ref="A7:A9"/>
    <mergeCell ref="B13:B17"/>
    <mergeCell ref="E13:E17"/>
    <mergeCell ref="F13:F17"/>
    <mergeCell ref="J13:J17"/>
    <mergeCell ref="P13:P17"/>
    <mergeCell ref="Q13:Q1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0"/>
    <col customWidth="1" min="3" max="3" width="19.5"/>
    <col customWidth="1" min="4" max="4" width="19.38"/>
    <col customWidth="1" min="5" max="5" width="12.75"/>
    <col customWidth="1" min="6" max="6" width="9.75"/>
  </cols>
  <sheetData>
    <row r="1">
      <c r="A1" s="1" t="s">
        <v>312</v>
      </c>
    </row>
    <row r="2">
      <c r="A2" s="21" t="s">
        <v>1</v>
      </c>
      <c r="B2" s="21" t="s">
        <v>109</v>
      </c>
      <c r="C2" s="21" t="s">
        <v>3</v>
      </c>
      <c r="D2" s="21" t="s">
        <v>4</v>
      </c>
      <c r="E2" s="21" t="s">
        <v>313</v>
      </c>
      <c r="F2" s="21" t="s">
        <v>159</v>
      </c>
      <c r="G2" s="21" t="s">
        <v>314</v>
      </c>
      <c r="H2" s="21" t="s">
        <v>315</v>
      </c>
      <c r="I2" s="21" t="s">
        <v>9</v>
      </c>
      <c r="J2" s="21" t="s">
        <v>316</v>
      </c>
      <c r="K2" s="21" t="s">
        <v>317</v>
      </c>
      <c r="L2" s="21" t="s">
        <v>318</v>
      </c>
      <c r="M2" s="21" t="s">
        <v>319</v>
      </c>
      <c r="N2" s="21" t="s">
        <v>14</v>
      </c>
      <c r="O2" s="21" t="s">
        <v>320</v>
      </c>
      <c r="P2" s="21" t="s">
        <v>16</v>
      </c>
    </row>
    <row r="3">
      <c r="A3" s="7">
        <v>1.0</v>
      </c>
      <c r="B3" s="65" t="s">
        <v>321</v>
      </c>
      <c r="C3" s="65" t="s">
        <v>322</v>
      </c>
      <c r="D3" s="65" t="s">
        <v>57</v>
      </c>
      <c r="E3" s="65" t="s">
        <v>323</v>
      </c>
      <c r="F3" s="65">
        <v>2.0</v>
      </c>
      <c r="G3" s="65" t="s">
        <v>324</v>
      </c>
      <c r="H3" s="65">
        <v>18.0</v>
      </c>
      <c r="I3" s="65">
        <v>25.0</v>
      </c>
      <c r="J3" s="65" t="s">
        <v>325</v>
      </c>
      <c r="K3" s="65">
        <v>120.0</v>
      </c>
      <c r="L3" s="65">
        <v>300.0</v>
      </c>
      <c r="M3" s="65">
        <v>180.0</v>
      </c>
      <c r="N3" s="78" t="s">
        <v>326</v>
      </c>
      <c r="O3" s="65" t="s">
        <v>327</v>
      </c>
      <c r="P3" s="12"/>
    </row>
    <row r="4">
      <c r="A4" s="7">
        <v>2.0</v>
      </c>
      <c r="B4" s="65" t="s">
        <v>328</v>
      </c>
      <c r="C4" s="6" t="s">
        <v>329</v>
      </c>
      <c r="D4" s="65" t="s">
        <v>70</v>
      </c>
      <c r="E4" s="65" t="s">
        <v>330</v>
      </c>
      <c r="F4" s="65">
        <v>4.0</v>
      </c>
      <c r="G4" s="65" t="s">
        <v>331</v>
      </c>
      <c r="H4" s="65">
        <v>7.0</v>
      </c>
      <c r="I4" s="65">
        <v>43.0</v>
      </c>
      <c r="J4" s="65" t="s">
        <v>332</v>
      </c>
      <c r="K4" s="65">
        <v>660.0</v>
      </c>
      <c r="L4" s="79">
        <v>1075.0</v>
      </c>
      <c r="M4" s="65">
        <v>415.0</v>
      </c>
      <c r="N4" s="78" t="s">
        <v>333</v>
      </c>
      <c r="O4" s="56" t="s">
        <v>170</v>
      </c>
      <c r="P4" s="12"/>
    </row>
    <row r="5">
      <c r="A5" s="5">
        <v>3.0</v>
      </c>
      <c r="B5" s="65" t="s">
        <v>334</v>
      </c>
      <c r="C5" s="6" t="s">
        <v>335</v>
      </c>
      <c r="D5" s="65" t="s">
        <v>39</v>
      </c>
      <c r="E5" s="65" t="s">
        <v>336</v>
      </c>
      <c r="F5" s="65">
        <v>12.0</v>
      </c>
      <c r="G5" s="65" t="s">
        <v>331</v>
      </c>
      <c r="H5" s="65">
        <v>8.0</v>
      </c>
      <c r="I5" s="65">
        <v>900.0</v>
      </c>
      <c r="J5" s="65" t="s">
        <v>66</v>
      </c>
      <c r="K5" s="65">
        <v>4320.0</v>
      </c>
      <c r="L5" s="79">
        <f>1800*3</f>
        <v>5400</v>
      </c>
      <c r="M5" s="79">
        <f>L5-K5</f>
        <v>1080</v>
      </c>
      <c r="N5" s="65">
        <v>9.07027193E8</v>
      </c>
      <c r="O5" s="56" t="s">
        <v>170</v>
      </c>
      <c r="P5" s="12"/>
    </row>
    <row r="6">
      <c r="A6" s="5">
        <v>4.0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>
      <c r="A7" s="5">
        <v>5.0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</row>
  </sheetData>
  <mergeCells count="1">
    <mergeCell ref="A1:P1"/>
  </mergeCells>
  <drawing r:id="rId1"/>
</worksheet>
</file>